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al_Data" sheetId="1" state="visible" r:id="rId3"/>
    <sheet name="KPI_Summary" sheetId="2" state="visible" r:id="rId4"/>
    <sheet name="Business_Con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<sst xmlns="http://schemas.openxmlformats.org/spreadsheetml/2006/main" count="569" uniqueCount="228">
  <si>
    <t xml:space="preserve">Order ID</t>
  </si>
  <si>
    <t xml:space="preserve">Process Type</t>
  </si>
  <si>
    <t xml:space="preserve">Department</t>
  </si>
  <si>
    <t xml:space="preserve">Assigned To</t>
  </si>
  <si>
    <t xml:space="preserve">Priority</t>
  </si>
  <si>
    <t xml:space="preserve">Start Date</t>
  </si>
  <si>
    <t xml:space="preserve">Planned End Date</t>
  </si>
  <si>
    <t xml:space="preserve">Actual End Date</t>
  </si>
  <si>
    <t xml:space="preserve">Status</t>
  </si>
  <si>
    <t xml:space="preserve">SLA Breach</t>
  </si>
  <si>
    <t xml:space="preserve">Units Processed</t>
  </si>
  <si>
    <t xml:space="preserve">Errors Found</t>
  </si>
  <si>
    <t xml:space="preserve">Rework Required</t>
  </si>
  <si>
    <t xml:space="preserve">Processing Time hrs</t>
  </si>
  <si>
    <t xml:space="preserve">Idle Time hrs</t>
  </si>
  <si>
    <t xml:space="preserve">Region</t>
  </si>
  <si>
    <t xml:space="preserve">Customer Segment</t>
  </si>
  <si>
    <t xml:space="preserve">Cost USD</t>
  </si>
  <si>
    <t xml:space="preserve">Revenue USD</t>
  </si>
  <si>
    <t xml:space="preserve">ORD-1001</t>
  </si>
  <si>
    <t xml:space="preserve">Vendor Onboarding</t>
  </si>
  <si>
    <t xml:space="preserve">Operations</t>
  </si>
  <si>
    <t xml:space="preserve">Ravi Sharma</t>
  </si>
  <si>
    <t xml:space="preserve">Low</t>
  </si>
  <si>
    <t xml:space="preserve">2024-02-07</t>
  </si>
  <si>
    <t xml:space="preserve">2024-02-12</t>
  </si>
  <si>
    <t xml:space="preserve">Delayed</t>
  </si>
  <si>
    <t xml:space="preserve">No</t>
  </si>
  <si>
    <t xml:space="preserve">Yes</t>
  </si>
  <si>
    <t xml:space="preserve">North</t>
  </si>
  <si>
    <t xml:space="preserve">Government</t>
  </si>
  <si>
    <t xml:space="preserve">ORD-1002</t>
  </si>
  <si>
    <t xml:space="preserve">Invoice Processing</t>
  </si>
  <si>
    <t xml:space="preserve">Customer Service</t>
  </si>
  <si>
    <t xml:space="preserve">2024-01-28</t>
  </si>
  <si>
    <t xml:space="preserve">2024-02-09</t>
  </si>
  <si>
    <t xml:space="preserve">South</t>
  </si>
  <si>
    <t xml:space="preserve">ORD-1003</t>
  </si>
  <si>
    <t xml:space="preserve">Quality Check</t>
  </si>
  <si>
    <t xml:space="preserve">Priya Mehta</t>
  </si>
  <si>
    <t xml:space="preserve">Medium</t>
  </si>
  <si>
    <t xml:space="preserve">2024-01-15</t>
  </si>
  <si>
    <t xml:space="preserve">2024-01-22</t>
  </si>
  <si>
    <t xml:space="preserve">2024-01-27</t>
  </si>
  <si>
    <t xml:space="preserve">In Progress</t>
  </si>
  <si>
    <t xml:space="preserve">Central</t>
  </si>
  <si>
    <t xml:space="preserve">Enterprise</t>
  </si>
  <si>
    <t xml:space="preserve">ORD-1004</t>
  </si>
  <si>
    <t xml:space="preserve">Returns Handling</t>
  </si>
  <si>
    <t xml:space="preserve">Quality Assurance</t>
  </si>
  <si>
    <t xml:space="preserve">Arjun Patel</t>
  </si>
  <si>
    <t xml:space="preserve">2024-01-30</t>
  </si>
  <si>
    <t xml:space="preserve">2024-01-29</t>
  </si>
  <si>
    <t xml:space="preserve">ORD-1005</t>
  </si>
  <si>
    <t xml:space="preserve">Finance</t>
  </si>
  <si>
    <t xml:space="preserve">2024-02-04</t>
  </si>
  <si>
    <t xml:space="preserve">2024-02-08</t>
  </si>
  <si>
    <t xml:space="preserve">Completed</t>
  </si>
  <si>
    <t xml:space="preserve">West</t>
  </si>
  <si>
    <t xml:space="preserve">ORD-1006</t>
  </si>
  <si>
    <t xml:space="preserve">Deepak Joshi</t>
  </si>
  <si>
    <t xml:space="preserve">2024-02-13</t>
  </si>
  <si>
    <t xml:space="preserve">2024-02-15</t>
  </si>
  <si>
    <t xml:space="preserve">Retail</t>
  </si>
  <si>
    <t xml:space="preserve">ORD-1007</t>
  </si>
  <si>
    <t xml:space="preserve">Logistics</t>
  </si>
  <si>
    <t xml:space="preserve">Anjali Singh</t>
  </si>
  <si>
    <t xml:space="preserve">2024-01-20</t>
  </si>
  <si>
    <t xml:space="preserve">2024-01-25</t>
  </si>
  <si>
    <t xml:space="preserve">East</t>
  </si>
  <si>
    <t xml:space="preserve">SMB</t>
  </si>
  <si>
    <t xml:space="preserve">ORD-1008</t>
  </si>
  <si>
    <t xml:space="preserve">Shipment Dispatch</t>
  </si>
  <si>
    <t xml:space="preserve">High</t>
  </si>
  <si>
    <t xml:space="preserve">2024-01-26</t>
  </si>
  <si>
    <t xml:space="preserve">2024-01-31</t>
  </si>
  <si>
    <t xml:space="preserve">Cancelled</t>
  </si>
  <si>
    <t xml:space="preserve">ORD-1009</t>
  </si>
  <si>
    <t xml:space="preserve">Order Fulfillment</t>
  </si>
  <si>
    <t xml:space="preserve">Procurement</t>
  </si>
  <si>
    <t xml:space="preserve">2024-03-11</t>
  </si>
  <si>
    <t xml:space="preserve">2024-03-17</t>
  </si>
  <si>
    <t xml:space="preserve">2024-03-22</t>
  </si>
  <si>
    <t xml:space="preserve">ORD-1010</t>
  </si>
  <si>
    <t xml:space="preserve">2024-02-19</t>
  </si>
  <si>
    <t xml:space="preserve">2024-02-23</t>
  </si>
  <si>
    <t xml:space="preserve">2024-02-26</t>
  </si>
  <si>
    <t xml:space="preserve">ORD-1011</t>
  </si>
  <si>
    <t xml:space="preserve">2024-03-05</t>
  </si>
  <si>
    <t xml:space="preserve">2024-03-08</t>
  </si>
  <si>
    <t xml:space="preserve">2024-03-13</t>
  </si>
  <si>
    <t xml:space="preserve">ORD-1012</t>
  </si>
  <si>
    <t xml:space="preserve">2024-02-11</t>
  </si>
  <si>
    <t xml:space="preserve">ORD-1013</t>
  </si>
  <si>
    <t xml:space="preserve">2024-01-12</t>
  </si>
  <si>
    <t xml:space="preserve">2024-01-14</t>
  </si>
  <si>
    <t xml:space="preserve">ORD-1014</t>
  </si>
  <si>
    <t xml:space="preserve">Vikram Das</t>
  </si>
  <si>
    <t xml:space="preserve">2024-03-03</t>
  </si>
  <si>
    <t xml:space="preserve">ORD-1015</t>
  </si>
  <si>
    <t xml:space="preserve">2024-03-20</t>
  </si>
  <si>
    <t xml:space="preserve">ORD-1016</t>
  </si>
  <si>
    <t xml:space="preserve">2024-02-02</t>
  </si>
  <si>
    <t xml:space="preserve">2024-02-06</t>
  </si>
  <si>
    <t xml:space="preserve">ORD-1017</t>
  </si>
  <si>
    <t xml:space="preserve">Sunita Rao</t>
  </si>
  <si>
    <t xml:space="preserve">2024-03-14</t>
  </si>
  <si>
    <t xml:space="preserve">2024-03-23</t>
  </si>
  <si>
    <t xml:space="preserve">ORD-1018</t>
  </si>
  <si>
    <t xml:space="preserve">2024-03-16</t>
  </si>
  <si>
    <t xml:space="preserve">ORD-1019</t>
  </si>
  <si>
    <t xml:space="preserve">2024-01-13</t>
  </si>
  <si>
    <t xml:space="preserve">2024-01-21</t>
  </si>
  <si>
    <t xml:space="preserve">ORD-1020</t>
  </si>
  <si>
    <t xml:space="preserve">2024-01-04</t>
  </si>
  <si>
    <t xml:space="preserve">2024-01-16</t>
  </si>
  <si>
    <t xml:space="preserve">ORD-1021</t>
  </si>
  <si>
    <t xml:space="preserve">Neha Gupta</t>
  </si>
  <si>
    <t xml:space="preserve">2024-03-26</t>
  </si>
  <si>
    <t xml:space="preserve">2024-04-05</t>
  </si>
  <si>
    <t xml:space="preserve">2024-04-04</t>
  </si>
  <si>
    <t xml:space="preserve">ORD-1022</t>
  </si>
  <si>
    <t xml:space="preserve">2024-02-05</t>
  </si>
  <si>
    <t xml:space="preserve">ORD-1023</t>
  </si>
  <si>
    <t xml:space="preserve">2024-03-24</t>
  </si>
  <si>
    <t xml:space="preserve">2024-03-30</t>
  </si>
  <si>
    <t xml:space="preserve">ORD-1024</t>
  </si>
  <si>
    <t xml:space="preserve">2024-02-18</t>
  </si>
  <si>
    <t xml:space="preserve">ORD-1025</t>
  </si>
  <si>
    <t xml:space="preserve">2024-01-23</t>
  </si>
  <si>
    <t xml:space="preserve">ORD-1026</t>
  </si>
  <si>
    <t xml:space="preserve">2024-02-10</t>
  </si>
  <si>
    <t xml:space="preserve">ORD-1027</t>
  </si>
  <si>
    <t xml:space="preserve">2024-03-25</t>
  </si>
  <si>
    <t xml:space="preserve">2024-04-06</t>
  </si>
  <si>
    <t xml:space="preserve">ORD-1028</t>
  </si>
  <si>
    <t xml:space="preserve">2024-03-29</t>
  </si>
  <si>
    <t xml:space="preserve">ORD-1029</t>
  </si>
  <si>
    <t xml:space="preserve">2024-02-27</t>
  </si>
  <si>
    <t xml:space="preserve">2024-03-01</t>
  </si>
  <si>
    <t xml:space="preserve">ORD-1030</t>
  </si>
  <si>
    <t xml:space="preserve">2024-02-25</t>
  </si>
  <si>
    <t xml:space="preserve">2024-03-04</t>
  </si>
  <si>
    <t xml:space="preserve">ORD-1031</t>
  </si>
  <si>
    <t xml:space="preserve">2024-02-28</t>
  </si>
  <si>
    <t xml:space="preserve">2024-03-12</t>
  </si>
  <si>
    <t xml:space="preserve">ORD-1032</t>
  </si>
  <si>
    <t xml:space="preserve">ORD-1033</t>
  </si>
  <si>
    <t xml:space="preserve">ORD-1034</t>
  </si>
  <si>
    <t xml:space="preserve">2024-02-03</t>
  </si>
  <si>
    <t xml:space="preserve">ORD-1035</t>
  </si>
  <si>
    <t xml:space="preserve">2024-02-29</t>
  </si>
  <si>
    <t xml:space="preserve">OPERATIONAL PERFORMANCE KPI SUMMARY</t>
  </si>
  <si>
    <t xml:space="preserve">Analysis Period: Jan – Mar 2024  |  Source: Operational_Data</t>
  </si>
  <si>
    <t xml:space="preserve">EFFICIENCY KPIs</t>
  </si>
  <si>
    <t xml:space="preserve">KPI</t>
  </si>
  <si>
    <t xml:space="preserve">Formula Value</t>
  </si>
  <si>
    <t xml:space="preserve">Format</t>
  </si>
  <si>
    <t xml:space="preserve">Notes</t>
  </si>
  <si>
    <t xml:space="preserve">Average Processing Time (hrs)</t>
  </si>
  <si>
    <t xml:space="preserve">#,##0.0</t>
  </si>
  <si>
    <t xml:space="preserve">Target: &lt; 20 hrs</t>
  </si>
  <si>
    <t xml:space="preserve">Average Idle Time (hrs)</t>
  </si>
  <si>
    <t xml:space="preserve">Target: &lt; 3 hrs</t>
  </si>
  <si>
    <t xml:space="preserve">Error Rate (%)</t>
  </si>
  <si>
    <t xml:space="preserve">0.00%</t>
  </si>
  <si>
    <t xml:space="preserve">Target: &lt; 3%</t>
  </si>
  <si>
    <t xml:space="preserve">Rework Rate (%)</t>
  </si>
  <si>
    <t xml:space="preserve">Target: &lt; 10%</t>
  </si>
  <si>
    <t xml:space="preserve">DELAY KPIs</t>
  </si>
  <si>
    <t xml:space="preserve">SLA Breach Count</t>
  </si>
  <si>
    <t xml:space="preserve">#,##0</t>
  </si>
  <si>
    <t xml:space="preserve">Target: 0</t>
  </si>
  <si>
    <t xml:space="preserve">SLA Breach Rate (%)</t>
  </si>
  <si>
    <t xml:space="preserve">Target: &lt; 5%</t>
  </si>
  <si>
    <t xml:space="preserve">Delayed Orders</t>
  </si>
  <si>
    <t xml:space="preserve">Cancelled Orders</t>
  </si>
  <si>
    <t xml:space="preserve">THROUGHPUT KPIs</t>
  </si>
  <si>
    <t xml:space="preserve">Total Units Processed</t>
  </si>
  <si>
    <t xml:space="preserve">Avg Units per Order</t>
  </si>
  <si>
    <t xml:space="preserve">Total Revenue (USD)</t>
  </si>
  <si>
    <t xml:space="preserve">"$"#,##0</t>
  </si>
  <si>
    <t xml:space="preserve">Total Cost (USD)</t>
  </si>
  <si>
    <t xml:space="preserve">Gross Margin (%)</t>
  </si>
  <si>
    <t xml:space="preserve">Orders Completed</t>
  </si>
  <si>
    <t xml:space="preserve">Completion Rate (%)</t>
  </si>
  <si>
    <t xml:space="preserve">Target: &gt; 80%</t>
  </si>
  <si>
    <t xml:space="preserve">BUSINESS PROBLEM STATEMENT &amp; DASHBOARD GUIDE</t>
  </si>
  <si>
    <t xml:space="preserve">🏢  BUSINESS PROBLEM STATEMENT</t>
  </si>
  <si>
    <t xml:space="preserve">Company: NovaBridge Logistics Pvt. Ltd. | Period: Q1 2024</t>
  </si>
  <si>
    <t xml:space="preserve">NovaBridge is experiencing rising operational costs and customer dissatisfaction due to process</t>
  </si>
  <si>
    <t xml:space="preserve">delays, SLA breaches, and high rework rates across its order fulfilment and logistics operations.</t>
  </si>
  <si>
    <t xml:space="preserve">Management requires a data-driven analysis to identify root causes of inefficiency, quantify</t>
  </si>
  <si>
    <t xml:space="preserve">throughput bottlenecks by department and region, and establish measurable KPI baselines to</t>
  </si>
  <si>
    <t xml:space="preserve">track improvements over the next two quarters.</t>
  </si>
  <si>
    <t xml:space="preserve">📊  RECOMMENDED POWER BI DASHBOARDS</t>
  </si>
  <si>
    <t xml:space="preserve">1. EXECUTIVE OVERVIEW DASHBOARD</t>
  </si>
  <si>
    <t xml:space="preserve">   • Scorecards: Completion Rate, SLA Breach Rate, Gross Margin, Total Revenue</t>
  </si>
  <si>
    <t xml:space="preserve">   • KPI trend sparklines (month-over-month)</t>
  </si>
  <si>
    <t xml:space="preserve">   • Donut chart: Order Status distribution</t>
  </si>
  <si>
    <t xml:space="preserve">   • Gauge chart: Overall Efficiency Score</t>
  </si>
  <si>
    <t xml:space="preserve">2. PROCESS EFFICIENCY DASHBOARD</t>
  </si>
  <si>
    <t xml:space="preserve">   • Bar chart: Avg Processing Time by Process Type</t>
  </si>
  <si>
    <t xml:space="preserve">   • Scatter plot: Processing Time vs Idle Time (bubble = Units Processed)</t>
  </si>
  <si>
    <t xml:space="preserve">   • Stacked bar: Rework Required by Department</t>
  </si>
  <si>
    <t xml:space="preserve">   • Line chart: Error Rate trend over time</t>
  </si>
  <si>
    <t xml:space="preserve">3. DELAY &amp; SLA BREACH ANALYSIS</t>
  </si>
  <si>
    <t xml:space="preserve">   • Heatmap matrix: SLA Breach Rate by Department × Region</t>
  </si>
  <si>
    <t xml:space="preserve">   • Waterfall chart: Planned vs Actual Completion Days</t>
  </si>
  <si>
    <t xml:space="preserve">   • Bar chart: Top 5 Assignees by Delay Count</t>
  </si>
  <si>
    <t xml:space="preserve">   • KPI card: % of High-Priority orders breaching SLA</t>
  </si>
  <si>
    <t xml:space="preserve">4. THROUGHPUT &amp; CAPACITY DASHBOARD</t>
  </si>
  <si>
    <t xml:space="preserve">   • Area chart: Units Processed over time</t>
  </si>
  <si>
    <t xml:space="preserve">   • Clustered bar: Throughput by Region and Customer Segment</t>
  </si>
  <si>
    <t xml:space="preserve">   • Table: Cost vs Revenue per Process Type with Margin %</t>
  </si>
  <si>
    <t xml:space="preserve">   • Treemap: Volume distribution by Department</t>
  </si>
  <si>
    <t xml:space="preserve">5. AGENT / TEAM PERFORMANCE DASHBOARD</t>
  </si>
  <si>
    <t xml:space="preserve">   • Ranked bar: Assignees by Completion Rate</t>
  </si>
  <si>
    <t xml:space="preserve">   • Matrix: Agent × KPI grid (Processing Time, Errors, SLA Breaches)</t>
  </si>
  <si>
    <t xml:space="preserve">   • Slicer filters: Priority, Region, Date Range, Department</t>
  </si>
  <si>
    <t xml:space="preserve">🔑  KEY COLUMNS &amp; PURPOSE</t>
  </si>
  <si>
    <t xml:space="preserve">Processing_Time_hrs   → Core efficiency metric; drives avg cycle time KPI</t>
  </si>
  <si>
    <t xml:space="preserve">Idle_Time_hrs         → Reveals bottlenecks / resource underutilisation</t>
  </si>
  <si>
    <t xml:space="preserve">SLA_Breach (Yes/No)   → Binary flag for delay KPIs and heatmap analysis</t>
  </si>
  <si>
    <t xml:space="preserve">Errors_Found          → Numerator for Error Rate; triggers Rework flag</t>
  </si>
  <si>
    <t xml:space="preserve">Units_Processed       → Throughput denominator; used in capacity analysis</t>
  </si>
  <si>
    <t xml:space="preserve">Cost_USD / Revenue_USD→ Financial KPIs: margin, ROI per process</t>
  </si>
  <si>
    <t xml:space="preserve">Status                → Funnel analysis; Cancelled orders need root-cause drill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</si>
</sst>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\$#,##0.00"/>
    <numFmt numFmtId="167" formatCode="0.00%"/>
    <numFmt numFmtId="168" formatCode="#,##0"/>
    <numFmt numFmtId="169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color rgb="FF1E8449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AFAF1"/>
      </patternFill>
    </fill>
    <fill>
      <patternFill patternType="solid">
        <fgColor rgb="FFFDECEA"/>
        <bgColor rgb="FFF2F2F2"/>
      </patternFill>
    </fill>
    <fill>
      <patternFill patternType="solid">
        <fgColor rgb="FFF2F2F2"/>
        <bgColor rgb="FFEAF4FB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AF4FB"/>
      </patternFill>
    </fill>
    <fill>
      <patternFill patternType="solid">
        <fgColor rgb="FFE74C3C"/>
        <bgColor rgb="FFFF8080"/>
      </patternFill>
    </fill>
    <fill>
      <patternFill patternType="solid">
        <fgColor rgb="FF1E8449"/>
        <bgColor rgb="FF008080"/>
      </patternFill>
    </fill>
    <fill>
      <patternFill patternType="solid">
        <fgColor rgb="FFEAF4FB"/>
        <bgColor rgb="FFF2F2F2"/>
      </patternFill>
    </fill>
    <fill>
      <patternFill patternType="solid">
        <fgColor rgb="FFEAFAF1"/>
        <bgColor rgb="FFEA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AFAF1"/>
      <rgbColor rgb="FFEAF4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74C3C"/>
      <rgbColor rgb="FF555555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9" min="18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3" t="s">
        <v>24</v>
      </c>
      <c r="G2" s="3" t="s">
        <v>25</v>
      </c>
      <c r="H2" s="3" t="s">
        <v>25</v>
      </c>
      <c r="I2" s="2" t="s">
        <v>26</v>
      </c>
      <c r="J2" s="2" t="s">
        <v>27</v>
      </c>
      <c r="K2" s="4" t="n">
        <v>397</v>
      </c>
      <c r="L2" s="4" t="n">
        <v>6</v>
      </c>
      <c r="M2" s="2" t="s">
        <v>28</v>
      </c>
      <c r="N2" s="4" t="n">
        <v>33</v>
      </c>
      <c r="O2" s="4" t="n">
        <v>8.9</v>
      </c>
      <c r="P2" s="3" t="s">
        <v>29</v>
      </c>
      <c r="Q2" s="3" t="s">
        <v>30</v>
      </c>
      <c r="R2" s="5" t="n">
        <v>738.37</v>
      </c>
      <c r="S2" s="5" t="n">
        <v>867.55</v>
      </c>
    </row>
    <row r="3" customFormat="false" ht="15" hidden="false" customHeight="false" outlineLevel="0" collapsed="false">
      <c r="A3" s="6" t="s">
        <v>31</v>
      </c>
      <c r="B3" s="7" t="s">
        <v>32</v>
      </c>
      <c r="C3" s="7" t="s">
        <v>33</v>
      </c>
      <c r="D3" s="7" t="s">
        <v>22</v>
      </c>
      <c r="E3" s="6" t="s">
        <v>23</v>
      </c>
      <c r="F3" s="7" t="s">
        <v>34</v>
      </c>
      <c r="G3" s="7" t="s">
        <v>24</v>
      </c>
      <c r="H3" s="7" t="s">
        <v>35</v>
      </c>
      <c r="I3" s="6" t="s">
        <v>26</v>
      </c>
      <c r="J3" s="6" t="s">
        <v>28</v>
      </c>
      <c r="K3" s="8" t="n">
        <v>249</v>
      </c>
      <c r="L3" s="8" t="n">
        <v>18</v>
      </c>
      <c r="M3" s="6" t="s">
        <v>28</v>
      </c>
      <c r="N3" s="8" t="n">
        <v>14.4</v>
      </c>
      <c r="O3" s="8" t="n">
        <v>8.7</v>
      </c>
      <c r="P3" s="7" t="s">
        <v>36</v>
      </c>
      <c r="Q3" s="7" t="s">
        <v>30</v>
      </c>
      <c r="R3" s="9" t="n">
        <v>3051.88</v>
      </c>
      <c r="S3" s="9" t="n">
        <v>3736.67</v>
      </c>
    </row>
    <row r="4" customFormat="false" ht="15" hidden="false" customHeight="false" outlineLevel="0" collapsed="false">
      <c r="A4" s="6" t="s">
        <v>37</v>
      </c>
      <c r="B4" s="7" t="s">
        <v>38</v>
      </c>
      <c r="C4" s="7" t="s">
        <v>21</v>
      </c>
      <c r="D4" s="7" t="s">
        <v>39</v>
      </c>
      <c r="E4" s="6" t="s">
        <v>40</v>
      </c>
      <c r="F4" s="7" t="s">
        <v>41</v>
      </c>
      <c r="G4" s="7" t="s">
        <v>42</v>
      </c>
      <c r="H4" s="7" t="s">
        <v>43</v>
      </c>
      <c r="I4" s="6" t="s">
        <v>44</v>
      </c>
      <c r="J4" s="6" t="s">
        <v>28</v>
      </c>
      <c r="K4" s="8" t="n">
        <v>329</v>
      </c>
      <c r="L4" s="8" t="n">
        <v>16</v>
      </c>
      <c r="M4" s="6" t="s">
        <v>28</v>
      </c>
      <c r="N4" s="8" t="n">
        <v>39</v>
      </c>
      <c r="O4" s="8" t="n">
        <v>7.3</v>
      </c>
      <c r="P4" s="7" t="s">
        <v>45</v>
      </c>
      <c r="Q4" s="7" t="s">
        <v>46</v>
      </c>
      <c r="R4" s="9" t="n">
        <v>7798.37</v>
      </c>
      <c r="S4" s="9" t="n">
        <v>10939.77</v>
      </c>
    </row>
    <row r="5" customFormat="false" ht="15" hidden="false" customHeight="false" outlineLevel="0" collapsed="false">
      <c r="A5" s="10" t="s">
        <v>47</v>
      </c>
      <c r="B5" s="11" t="s">
        <v>48</v>
      </c>
      <c r="C5" s="11" t="s">
        <v>49</v>
      </c>
      <c r="D5" s="11" t="s">
        <v>50</v>
      </c>
      <c r="E5" s="10" t="s">
        <v>23</v>
      </c>
      <c r="F5" s="11" t="s">
        <v>43</v>
      </c>
      <c r="G5" s="11" t="s">
        <v>51</v>
      </c>
      <c r="H5" s="11" t="s">
        <v>52</v>
      </c>
      <c r="I5" s="10" t="s">
        <v>26</v>
      </c>
      <c r="J5" s="10" t="s">
        <v>27</v>
      </c>
      <c r="K5" s="12" t="n">
        <v>415</v>
      </c>
      <c r="L5" s="12" t="n">
        <v>18</v>
      </c>
      <c r="M5" s="10" t="s">
        <v>28</v>
      </c>
      <c r="N5" s="12" t="n">
        <v>47.3</v>
      </c>
      <c r="O5" s="12" t="n">
        <v>8.6</v>
      </c>
      <c r="P5" s="11" t="s">
        <v>29</v>
      </c>
      <c r="Q5" s="11" t="s">
        <v>30</v>
      </c>
      <c r="R5" s="13" t="n">
        <v>2584.8</v>
      </c>
      <c r="S5" s="13" t="n">
        <v>4157.77</v>
      </c>
    </row>
    <row r="6" customFormat="false" ht="15" hidden="false" customHeight="false" outlineLevel="0" collapsed="false">
      <c r="A6" s="6" t="s">
        <v>53</v>
      </c>
      <c r="B6" s="7" t="s">
        <v>38</v>
      </c>
      <c r="C6" s="7" t="s">
        <v>54</v>
      </c>
      <c r="D6" s="7" t="s">
        <v>50</v>
      </c>
      <c r="E6" s="6" t="s">
        <v>40</v>
      </c>
      <c r="F6" s="7" t="s">
        <v>52</v>
      </c>
      <c r="G6" s="7" t="s">
        <v>55</v>
      </c>
      <c r="H6" s="7" t="s">
        <v>56</v>
      </c>
      <c r="I6" s="6" t="s">
        <v>57</v>
      </c>
      <c r="J6" s="6" t="s">
        <v>28</v>
      </c>
      <c r="K6" s="8" t="n">
        <v>331</v>
      </c>
      <c r="L6" s="8" t="n">
        <v>10</v>
      </c>
      <c r="M6" s="6" t="s">
        <v>28</v>
      </c>
      <c r="N6" s="8" t="n">
        <v>26.3</v>
      </c>
      <c r="O6" s="8" t="n">
        <v>2.4</v>
      </c>
      <c r="P6" s="7" t="s">
        <v>58</v>
      </c>
      <c r="Q6" s="7" t="s">
        <v>30</v>
      </c>
      <c r="R6" s="9" t="n">
        <v>2524.61</v>
      </c>
      <c r="S6" s="9" t="n">
        <v>4646.07</v>
      </c>
    </row>
    <row r="7" customFormat="false" ht="15" hidden="false" customHeight="false" outlineLevel="0" collapsed="false">
      <c r="A7" s="10" t="s">
        <v>59</v>
      </c>
      <c r="B7" s="11" t="s">
        <v>20</v>
      </c>
      <c r="C7" s="11" t="s">
        <v>33</v>
      </c>
      <c r="D7" s="11" t="s">
        <v>60</v>
      </c>
      <c r="E7" s="10" t="s">
        <v>23</v>
      </c>
      <c r="F7" s="11" t="s">
        <v>61</v>
      </c>
      <c r="G7" s="11" t="s">
        <v>62</v>
      </c>
      <c r="H7" s="11" t="s">
        <v>62</v>
      </c>
      <c r="I7" s="10" t="s">
        <v>57</v>
      </c>
      <c r="J7" s="10" t="s">
        <v>27</v>
      </c>
      <c r="K7" s="12" t="n">
        <v>432</v>
      </c>
      <c r="L7" s="12" t="n">
        <v>20</v>
      </c>
      <c r="M7" s="10" t="s">
        <v>28</v>
      </c>
      <c r="N7" s="12" t="n">
        <v>20.2</v>
      </c>
      <c r="O7" s="12" t="n">
        <v>0.7</v>
      </c>
      <c r="P7" s="11" t="s">
        <v>45</v>
      </c>
      <c r="Q7" s="11" t="s">
        <v>63</v>
      </c>
      <c r="R7" s="13" t="n">
        <v>2094.7</v>
      </c>
      <c r="S7" s="13" t="n">
        <v>3140.76</v>
      </c>
    </row>
    <row r="8" customFormat="false" ht="15" hidden="false" customHeight="false" outlineLevel="0" collapsed="false">
      <c r="A8" s="6" t="s">
        <v>64</v>
      </c>
      <c r="B8" s="7" t="s">
        <v>20</v>
      </c>
      <c r="C8" s="7" t="s">
        <v>65</v>
      </c>
      <c r="D8" s="7" t="s">
        <v>66</v>
      </c>
      <c r="E8" s="6" t="s">
        <v>40</v>
      </c>
      <c r="F8" s="7" t="s">
        <v>67</v>
      </c>
      <c r="G8" s="7" t="s">
        <v>68</v>
      </c>
      <c r="H8" s="7" t="s">
        <v>52</v>
      </c>
      <c r="I8" s="6" t="s">
        <v>44</v>
      </c>
      <c r="J8" s="6" t="s">
        <v>28</v>
      </c>
      <c r="K8" s="8" t="n">
        <v>402</v>
      </c>
      <c r="L8" s="8" t="n">
        <v>37</v>
      </c>
      <c r="M8" s="6" t="s">
        <v>28</v>
      </c>
      <c r="N8" s="8" t="n">
        <v>21.4</v>
      </c>
      <c r="O8" s="8" t="n">
        <v>5.8</v>
      </c>
      <c r="P8" s="7" t="s">
        <v>69</v>
      </c>
      <c r="Q8" s="7" t="s">
        <v>70</v>
      </c>
      <c r="R8" s="9" t="n">
        <v>7979.94</v>
      </c>
      <c r="S8" s="9" t="n">
        <v>9661.04</v>
      </c>
    </row>
    <row r="9" customFormat="false" ht="15" hidden="false" customHeight="false" outlineLevel="0" collapsed="false">
      <c r="A9" s="6" t="s">
        <v>71</v>
      </c>
      <c r="B9" s="7" t="s">
        <v>72</v>
      </c>
      <c r="C9" s="7" t="s">
        <v>21</v>
      </c>
      <c r="D9" s="7" t="s">
        <v>22</v>
      </c>
      <c r="E9" s="6" t="s">
        <v>73</v>
      </c>
      <c r="F9" s="7" t="s">
        <v>42</v>
      </c>
      <c r="G9" s="7" t="s">
        <v>74</v>
      </c>
      <c r="H9" s="7" t="s">
        <v>75</v>
      </c>
      <c r="I9" s="6" t="s">
        <v>76</v>
      </c>
      <c r="J9" s="6" t="s">
        <v>28</v>
      </c>
      <c r="K9" s="8" t="n">
        <v>325</v>
      </c>
      <c r="L9" s="8" t="n">
        <v>4</v>
      </c>
      <c r="M9" s="6" t="s">
        <v>28</v>
      </c>
      <c r="N9" s="8" t="n">
        <v>19.4</v>
      </c>
      <c r="O9" s="8" t="n">
        <v>6</v>
      </c>
      <c r="P9" s="7" t="s">
        <v>58</v>
      </c>
      <c r="Q9" s="7" t="s">
        <v>63</v>
      </c>
      <c r="R9" s="9" t="n">
        <v>7783.09</v>
      </c>
      <c r="S9" s="9" t="n">
        <v>13921.02</v>
      </c>
    </row>
    <row r="10" customFormat="false" ht="15" hidden="false" customHeight="false" outlineLevel="0" collapsed="false">
      <c r="A10" s="6" t="s">
        <v>77</v>
      </c>
      <c r="B10" s="7" t="s">
        <v>78</v>
      </c>
      <c r="C10" s="7" t="s">
        <v>79</v>
      </c>
      <c r="D10" s="7" t="s">
        <v>39</v>
      </c>
      <c r="E10" s="6" t="s">
        <v>23</v>
      </c>
      <c r="F10" s="7" t="s">
        <v>80</v>
      </c>
      <c r="G10" s="7" t="s">
        <v>81</v>
      </c>
      <c r="H10" s="7" t="s">
        <v>82</v>
      </c>
      <c r="I10" s="6" t="s">
        <v>44</v>
      </c>
      <c r="J10" s="6" t="s">
        <v>28</v>
      </c>
      <c r="K10" s="8" t="n">
        <v>77</v>
      </c>
      <c r="L10" s="8" t="n">
        <v>4</v>
      </c>
      <c r="M10" s="6" t="s">
        <v>28</v>
      </c>
      <c r="N10" s="8" t="n">
        <v>21.7</v>
      </c>
      <c r="O10" s="8" t="n">
        <v>4.5</v>
      </c>
      <c r="P10" s="7" t="s">
        <v>69</v>
      </c>
      <c r="Q10" s="7" t="s">
        <v>70</v>
      </c>
      <c r="R10" s="9" t="n">
        <v>4307.61</v>
      </c>
      <c r="S10" s="9" t="n">
        <v>5105.07</v>
      </c>
    </row>
    <row r="11" customFormat="false" ht="15" hidden="false" customHeight="false" outlineLevel="0" collapsed="false">
      <c r="A11" s="6" t="s">
        <v>83</v>
      </c>
      <c r="B11" s="7" t="s">
        <v>20</v>
      </c>
      <c r="C11" s="7" t="s">
        <v>49</v>
      </c>
      <c r="D11" s="7" t="s">
        <v>60</v>
      </c>
      <c r="E11" s="6" t="s">
        <v>73</v>
      </c>
      <c r="F11" s="7" t="s">
        <v>84</v>
      </c>
      <c r="G11" s="7" t="s">
        <v>85</v>
      </c>
      <c r="H11" s="7" t="s">
        <v>86</v>
      </c>
      <c r="I11" s="6" t="s">
        <v>57</v>
      </c>
      <c r="J11" s="6" t="s">
        <v>28</v>
      </c>
      <c r="K11" s="8" t="n">
        <v>326</v>
      </c>
      <c r="L11" s="8" t="n">
        <v>20</v>
      </c>
      <c r="M11" s="6" t="s">
        <v>28</v>
      </c>
      <c r="N11" s="8" t="n">
        <v>24.2</v>
      </c>
      <c r="O11" s="8" t="n">
        <v>1.1</v>
      </c>
      <c r="P11" s="7" t="s">
        <v>69</v>
      </c>
      <c r="Q11" s="7" t="s">
        <v>63</v>
      </c>
      <c r="R11" s="9" t="n">
        <v>2295.89</v>
      </c>
      <c r="S11" s="9" t="n">
        <v>2967.89</v>
      </c>
    </row>
    <row r="12" customFormat="false" ht="15" hidden="false" customHeight="false" outlineLevel="0" collapsed="false">
      <c r="A12" s="6" t="s">
        <v>87</v>
      </c>
      <c r="B12" s="7" t="s">
        <v>48</v>
      </c>
      <c r="C12" s="7" t="s">
        <v>21</v>
      </c>
      <c r="D12" s="7" t="s">
        <v>39</v>
      </c>
      <c r="E12" s="6" t="s">
        <v>23</v>
      </c>
      <c r="F12" s="7" t="s">
        <v>88</v>
      </c>
      <c r="G12" s="7" t="s">
        <v>89</v>
      </c>
      <c r="H12" s="7" t="s">
        <v>90</v>
      </c>
      <c r="I12" s="6" t="s">
        <v>26</v>
      </c>
      <c r="J12" s="6" t="s">
        <v>28</v>
      </c>
      <c r="K12" s="8" t="n">
        <v>85</v>
      </c>
      <c r="L12" s="8" t="n">
        <v>10</v>
      </c>
      <c r="M12" s="6" t="s">
        <v>28</v>
      </c>
      <c r="N12" s="8" t="n">
        <v>23.6</v>
      </c>
      <c r="O12" s="8" t="n">
        <v>5.5</v>
      </c>
      <c r="P12" s="7" t="s">
        <v>69</v>
      </c>
      <c r="Q12" s="7" t="s">
        <v>30</v>
      </c>
      <c r="R12" s="9" t="n">
        <v>7732.72</v>
      </c>
      <c r="S12" s="9" t="n">
        <v>14252.41</v>
      </c>
    </row>
    <row r="13" customFormat="false" ht="15" hidden="false" customHeight="false" outlineLevel="0" collapsed="false">
      <c r="A13" s="6" t="s">
        <v>91</v>
      </c>
      <c r="B13" s="7" t="s">
        <v>20</v>
      </c>
      <c r="C13" s="7" t="s">
        <v>79</v>
      </c>
      <c r="D13" s="7" t="s">
        <v>60</v>
      </c>
      <c r="E13" s="6" t="s">
        <v>23</v>
      </c>
      <c r="F13" s="7" t="s">
        <v>92</v>
      </c>
      <c r="G13" s="7" t="s">
        <v>84</v>
      </c>
      <c r="H13" s="7" t="s">
        <v>85</v>
      </c>
      <c r="I13" s="6" t="s">
        <v>44</v>
      </c>
      <c r="J13" s="6" t="s">
        <v>28</v>
      </c>
      <c r="K13" s="8" t="n">
        <v>244</v>
      </c>
      <c r="L13" s="8" t="n">
        <v>28</v>
      </c>
      <c r="M13" s="6" t="s">
        <v>28</v>
      </c>
      <c r="N13" s="8" t="n">
        <v>25.6</v>
      </c>
      <c r="O13" s="8" t="n">
        <v>1.2</v>
      </c>
      <c r="P13" s="7" t="s">
        <v>36</v>
      </c>
      <c r="Q13" s="7" t="s">
        <v>46</v>
      </c>
      <c r="R13" s="9" t="n">
        <v>3035.64</v>
      </c>
      <c r="S13" s="9" t="n">
        <v>4767.92</v>
      </c>
    </row>
    <row r="14" customFormat="false" ht="15" hidden="false" customHeight="false" outlineLevel="0" collapsed="false">
      <c r="A14" s="2" t="s">
        <v>93</v>
      </c>
      <c r="B14" s="3" t="s">
        <v>32</v>
      </c>
      <c r="C14" s="3" t="s">
        <v>33</v>
      </c>
      <c r="D14" s="3" t="s">
        <v>60</v>
      </c>
      <c r="E14" s="2" t="s">
        <v>73</v>
      </c>
      <c r="F14" s="3" t="s">
        <v>94</v>
      </c>
      <c r="G14" s="3" t="s">
        <v>95</v>
      </c>
      <c r="H14" s="3" t="s">
        <v>95</v>
      </c>
      <c r="I14" s="2" t="s">
        <v>57</v>
      </c>
      <c r="J14" s="2" t="s">
        <v>27</v>
      </c>
      <c r="K14" s="4" t="n">
        <v>483</v>
      </c>
      <c r="L14" s="4" t="n">
        <v>2</v>
      </c>
      <c r="M14" s="2" t="s">
        <v>28</v>
      </c>
      <c r="N14" s="4" t="n">
        <v>41.5</v>
      </c>
      <c r="O14" s="4" t="n">
        <v>0.7</v>
      </c>
      <c r="P14" s="3" t="s">
        <v>36</v>
      </c>
      <c r="Q14" s="3" t="s">
        <v>63</v>
      </c>
      <c r="R14" s="5" t="n">
        <v>5517.33</v>
      </c>
      <c r="S14" s="5" t="n">
        <v>7014.68</v>
      </c>
    </row>
    <row r="15" customFormat="false" ht="15" hidden="false" customHeight="false" outlineLevel="0" collapsed="false">
      <c r="A15" s="10" t="s">
        <v>96</v>
      </c>
      <c r="B15" s="11" t="s">
        <v>32</v>
      </c>
      <c r="C15" s="11" t="s">
        <v>79</v>
      </c>
      <c r="D15" s="11" t="s">
        <v>97</v>
      </c>
      <c r="E15" s="10" t="s">
        <v>73</v>
      </c>
      <c r="F15" s="11" t="s">
        <v>98</v>
      </c>
      <c r="G15" s="11" t="s">
        <v>80</v>
      </c>
      <c r="H15" s="11" t="s">
        <v>80</v>
      </c>
      <c r="I15" s="10" t="s">
        <v>57</v>
      </c>
      <c r="J15" s="10" t="s">
        <v>27</v>
      </c>
      <c r="K15" s="12" t="n">
        <v>69</v>
      </c>
      <c r="L15" s="12" t="n">
        <v>6</v>
      </c>
      <c r="M15" s="10" t="s">
        <v>28</v>
      </c>
      <c r="N15" s="12" t="n">
        <v>18</v>
      </c>
      <c r="O15" s="12" t="n">
        <v>4.1</v>
      </c>
      <c r="P15" s="11" t="s">
        <v>29</v>
      </c>
      <c r="Q15" s="11" t="s">
        <v>46</v>
      </c>
      <c r="R15" s="13" t="n">
        <v>954.6</v>
      </c>
      <c r="S15" s="13" t="n">
        <v>1606.18</v>
      </c>
    </row>
    <row r="16" customFormat="false" ht="15" hidden="false" customHeight="false" outlineLevel="0" collapsed="false">
      <c r="A16" s="2" t="s">
        <v>99</v>
      </c>
      <c r="B16" s="3" t="s">
        <v>78</v>
      </c>
      <c r="C16" s="3" t="s">
        <v>54</v>
      </c>
      <c r="D16" s="3" t="s">
        <v>60</v>
      </c>
      <c r="E16" s="2" t="s">
        <v>73</v>
      </c>
      <c r="F16" s="3" t="s">
        <v>80</v>
      </c>
      <c r="G16" s="3" t="s">
        <v>100</v>
      </c>
      <c r="H16" s="3" t="s">
        <v>100</v>
      </c>
      <c r="I16" s="2" t="s">
        <v>76</v>
      </c>
      <c r="J16" s="2" t="s">
        <v>27</v>
      </c>
      <c r="K16" s="4" t="n">
        <v>113</v>
      </c>
      <c r="L16" s="4" t="n">
        <v>4</v>
      </c>
      <c r="M16" s="2" t="s">
        <v>28</v>
      </c>
      <c r="N16" s="4" t="n">
        <v>23</v>
      </c>
      <c r="O16" s="4" t="n">
        <v>8.7</v>
      </c>
      <c r="P16" s="3" t="s">
        <v>29</v>
      </c>
      <c r="Q16" s="3" t="s">
        <v>30</v>
      </c>
      <c r="R16" s="5" t="n">
        <v>6560.17</v>
      </c>
      <c r="S16" s="5" t="n">
        <v>11708.42</v>
      </c>
    </row>
    <row r="17" customFormat="false" ht="15" hidden="false" customHeight="false" outlineLevel="0" collapsed="false">
      <c r="A17" s="6" t="s">
        <v>101</v>
      </c>
      <c r="B17" s="7" t="s">
        <v>78</v>
      </c>
      <c r="C17" s="7" t="s">
        <v>21</v>
      </c>
      <c r="D17" s="7" t="s">
        <v>22</v>
      </c>
      <c r="E17" s="6" t="s">
        <v>73</v>
      </c>
      <c r="F17" s="7" t="s">
        <v>102</v>
      </c>
      <c r="G17" s="7" t="s">
        <v>103</v>
      </c>
      <c r="H17" s="7" t="s">
        <v>56</v>
      </c>
      <c r="I17" s="6" t="s">
        <v>76</v>
      </c>
      <c r="J17" s="6" t="s">
        <v>28</v>
      </c>
      <c r="K17" s="8" t="n">
        <v>266</v>
      </c>
      <c r="L17" s="8" t="n">
        <v>13</v>
      </c>
      <c r="M17" s="6" t="s">
        <v>28</v>
      </c>
      <c r="N17" s="8" t="n">
        <v>41.7</v>
      </c>
      <c r="O17" s="8" t="n">
        <v>9</v>
      </c>
      <c r="P17" s="7" t="s">
        <v>36</v>
      </c>
      <c r="Q17" s="7" t="s">
        <v>30</v>
      </c>
      <c r="R17" s="9" t="n">
        <v>516.17</v>
      </c>
      <c r="S17" s="9" t="n">
        <v>729.01</v>
      </c>
    </row>
    <row r="18" customFormat="false" ht="15" hidden="false" customHeight="false" outlineLevel="0" collapsed="false">
      <c r="A18" s="2" t="s">
        <v>104</v>
      </c>
      <c r="B18" s="3" t="s">
        <v>72</v>
      </c>
      <c r="C18" s="3" t="s">
        <v>49</v>
      </c>
      <c r="D18" s="3" t="s">
        <v>105</v>
      </c>
      <c r="E18" s="2" t="s">
        <v>23</v>
      </c>
      <c r="F18" s="3" t="s">
        <v>106</v>
      </c>
      <c r="G18" s="3" t="s">
        <v>107</v>
      </c>
      <c r="H18" s="3" t="s">
        <v>107</v>
      </c>
      <c r="I18" s="2" t="s">
        <v>26</v>
      </c>
      <c r="J18" s="2" t="s">
        <v>27</v>
      </c>
      <c r="K18" s="4" t="n">
        <v>171</v>
      </c>
      <c r="L18" s="4" t="n">
        <v>6</v>
      </c>
      <c r="M18" s="2" t="s">
        <v>28</v>
      </c>
      <c r="N18" s="4" t="n">
        <v>46.5</v>
      </c>
      <c r="O18" s="4" t="n">
        <v>5.8</v>
      </c>
      <c r="P18" s="3" t="s">
        <v>45</v>
      </c>
      <c r="Q18" s="3" t="s">
        <v>46</v>
      </c>
      <c r="R18" s="5" t="n">
        <v>6109.82</v>
      </c>
      <c r="S18" s="5" t="n">
        <v>7000.22</v>
      </c>
    </row>
    <row r="19" customFormat="false" ht="15" hidden="false" customHeight="false" outlineLevel="0" collapsed="false">
      <c r="A19" s="6" t="s">
        <v>108</v>
      </c>
      <c r="B19" s="7" t="s">
        <v>48</v>
      </c>
      <c r="C19" s="7" t="s">
        <v>65</v>
      </c>
      <c r="D19" s="7" t="s">
        <v>66</v>
      </c>
      <c r="E19" s="6" t="s">
        <v>73</v>
      </c>
      <c r="F19" s="7" t="s">
        <v>89</v>
      </c>
      <c r="G19" s="7" t="s">
        <v>80</v>
      </c>
      <c r="H19" s="7" t="s">
        <v>109</v>
      </c>
      <c r="I19" s="6" t="s">
        <v>26</v>
      </c>
      <c r="J19" s="6" t="s">
        <v>28</v>
      </c>
      <c r="K19" s="8" t="n">
        <v>55</v>
      </c>
      <c r="L19" s="8" t="n">
        <v>4</v>
      </c>
      <c r="M19" s="6" t="s">
        <v>28</v>
      </c>
      <c r="N19" s="8" t="n">
        <v>4.7</v>
      </c>
      <c r="O19" s="8" t="n">
        <v>8.6</v>
      </c>
      <c r="P19" s="7" t="s">
        <v>58</v>
      </c>
      <c r="Q19" s="7" t="s">
        <v>46</v>
      </c>
      <c r="R19" s="9" t="n">
        <v>7561.97</v>
      </c>
      <c r="S19" s="9" t="n">
        <v>11764.46</v>
      </c>
    </row>
    <row r="20" customFormat="false" ht="15" hidden="false" customHeight="false" outlineLevel="0" collapsed="false">
      <c r="A20" s="6" t="s">
        <v>110</v>
      </c>
      <c r="B20" s="7" t="s">
        <v>48</v>
      </c>
      <c r="C20" s="7" t="s">
        <v>33</v>
      </c>
      <c r="D20" s="7" t="s">
        <v>22</v>
      </c>
      <c r="E20" s="6" t="s">
        <v>23</v>
      </c>
      <c r="F20" s="7" t="s">
        <v>111</v>
      </c>
      <c r="G20" s="7" t="s">
        <v>112</v>
      </c>
      <c r="H20" s="7" t="s">
        <v>68</v>
      </c>
      <c r="I20" s="6" t="s">
        <v>44</v>
      </c>
      <c r="J20" s="6" t="s">
        <v>28</v>
      </c>
      <c r="K20" s="8" t="n">
        <v>498</v>
      </c>
      <c r="L20" s="8" t="n">
        <v>16</v>
      </c>
      <c r="M20" s="6" t="s">
        <v>28</v>
      </c>
      <c r="N20" s="8" t="n">
        <v>11</v>
      </c>
      <c r="O20" s="8" t="n">
        <v>7.2</v>
      </c>
      <c r="P20" s="7" t="s">
        <v>36</v>
      </c>
      <c r="Q20" s="7" t="s">
        <v>63</v>
      </c>
      <c r="R20" s="9" t="n">
        <v>3468.39</v>
      </c>
      <c r="S20" s="9" t="n">
        <v>5678.98</v>
      </c>
    </row>
    <row r="21" customFormat="false" ht="15" hidden="false" customHeight="false" outlineLevel="0" collapsed="false">
      <c r="A21" s="6" t="s">
        <v>113</v>
      </c>
      <c r="B21" s="7" t="s">
        <v>38</v>
      </c>
      <c r="C21" s="7" t="s">
        <v>65</v>
      </c>
      <c r="D21" s="7" t="s">
        <v>50</v>
      </c>
      <c r="E21" s="6" t="s">
        <v>73</v>
      </c>
      <c r="F21" s="7" t="s">
        <v>114</v>
      </c>
      <c r="G21" s="7" t="s">
        <v>111</v>
      </c>
      <c r="H21" s="7" t="s">
        <v>115</v>
      </c>
      <c r="I21" s="6" t="s">
        <v>57</v>
      </c>
      <c r="J21" s="6" t="s">
        <v>28</v>
      </c>
      <c r="K21" s="8" t="n">
        <v>57</v>
      </c>
      <c r="L21" s="8" t="n">
        <v>4</v>
      </c>
      <c r="M21" s="6" t="s">
        <v>28</v>
      </c>
      <c r="N21" s="8" t="n">
        <v>11.4</v>
      </c>
      <c r="O21" s="8" t="n">
        <v>2.7</v>
      </c>
      <c r="P21" s="7" t="s">
        <v>69</v>
      </c>
      <c r="Q21" s="7" t="s">
        <v>46</v>
      </c>
      <c r="R21" s="9" t="n">
        <v>7094.53</v>
      </c>
      <c r="S21" s="9" t="n">
        <v>9901.28</v>
      </c>
    </row>
    <row r="22" customFormat="false" ht="15" hidden="false" customHeight="false" outlineLevel="0" collapsed="false">
      <c r="A22" s="2" t="s">
        <v>116</v>
      </c>
      <c r="B22" s="3" t="s">
        <v>32</v>
      </c>
      <c r="C22" s="3" t="s">
        <v>65</v>
      </c>
      <c r="D22" s="3" t="s">
        <v>117</v>
      </c>
      <c r="E22" s="2" t="s">
        <v>23</v>
      </c>
      <c r="F22" s="3" t="s">
        <v>118</v>
      </c>
      <c r="G22" s="3" t="s">
        <v>119</v>
      </c>
      <c r="H22" s="3" t="s">
        <v>120</v>
      </c>
      <c r="I22" s="2" t="s">
        <v>44</v>
      </c>
      <c r="J22" s="2" t="s">
        <v>27</v>
      </c>
      <c r="K22" s="4" t="n">
        <v>497</v>
      </c>
      <c r="L22" s="4" t="n">
        <v>42</v>
      </c>
      <c r="M22" s="2" t="s">
        <v>28</v>
      </c>
      <c r="N22" s="4" t="n">
        <v>6.3</v>
      </c>
      <c r="O22" s="4" t="n">
        <v>8.8</v>
      </c>
      <c r="P22" s="3" t="s">
        <v>69</v>
      </c>
      <c r="Q22" s="3" t="s">
        <v>46</v>
      </c>
      <c r="R22" s="5" t="n">
        <v>7172.85</v>
      </c>
      <c r="S22" s="5" t="n">
        <v>12150.33</v>
      </c>
    </row>
    <row r="23" customFormat="false" ht="15" hidden="false" customHeight="false" outlineLevel="0" collapsed="false">
      <c r="A23" s="10" t="s">
        <v>121</v>
      </c>
      <c r="B23" s="11" t="s">
        <v>32</v>
      </c>
      <c r="C23" s="11" t="s">
        <v>49</v>
      </c>
      <c r="D23" s="11" t="s">
        <v>117</v>
      </c>
      <c r="E23" s="10" t="s">
        <v>23</v>
      </c>
      <c r="F23" s="11" t="s">
        <v>52</v>
      </c>
      <c r="G23" s="11" t="s">
        <v>122</v>
      </c>
      <c r="H23" s="11" t="s">
        <v>122</v>
      </c>
      <c r="I23" s="10" t="s">
        <v>44</v>
      </c>
      <c r="J23" s="10" t="s">
        <v>27</v>
      </c>
      <c r="K23" s="12" t="n">
        <v>278</v>
      </c>
      <c r="L23" s="12" t="n">
        <v>31</v>
      </c>
      <c r="M23" s="10" t="s">
        <v>28</v>
      </c>
      <c r="N23" s="12" t="n">
        <v>13.2</v>
      </c>
      <c r="O23" s="12" t="n">
        <v>9.1</v>
      </c>
      <c r="P23" s="11" t="s">
        <v>29</v>
      </c>
      <c r="Q23" s="11" t="s">
        <v>46</v>
      </c>
      <c r="R23" s="13" t="n">
        <v>5257.13</v>
      </c>
      <c r="S23" s="13" t="n">
        <v>9270.84</v>
      </c>
    </row>
    <row r="24" customFormat="false" ht="15" hidden="false" customHeight="false" outlineLevel="0" collapsed="false">
      <c r="A24" s="2" t="s">
        <v>123</v>
      </c>
      <c r="B24" s="3" t="s">
        <v>78</v>
      </c>
      <c r="C24" s="3" t="s">
        <v>21</v>
      </c>
      <c r="D24" s="3" t="s">
        <v>50</v>
      </c>
      <c r="E24" s="2" t="s">
        <v>73</v>
      </c>
      <c r="F24" s="3" t="s">
        <v>124</v>
      </c>
      <c r="G24" s="3" t="s">
        <v>125</v>
      </c>
      <c r="H24" s="3" t="s">
        <v>125</v>
      </c>
      <c r="I24" s="2" t="s">
        <v>76</v>
      </c>
      <c r="J24" s="2" t="s">
        <v>27</v>
      </c>
      <c r="K24" s="4" t="n">
        <v>302</v>
      </c>
      <c r="L24" s="4" t="n">
        <v>27</v>
      </c>
      <c r="M24" s="2" t="s">
        <v>28</v>
      </c>
      <c r="N24" s="4" t="n">
        <v>27.6</v>
      </c>
      <c r="O24" s="4" t="n">
        <v>1.1</v>
      </c>
      <c r="P24" s="3" t="s">
        <v>36</v>
      </c>
      <c r="Q24" s="3" t="s">
        <v>46</v>
      </c>
      <c r="R24" s="5" t="n">
        <v>6759.46</v>
      </c>
      <c r="S24" s="5" t="n">
        <v>10585.37</v>
      </c>
    </row>
    <row r="25" customFormat="false" ht="15" hidden="false" customHeight="false" outlineLevel="0" collapsed="false">
      <c r="A25" s="6" t="s">
        <v>126</v>
      </c>
      <c r="B25" s="7" t="s">
        <v>32</v>
      </c>
      <c r="C25" s="7" t="s">
        <v>65</v>
      </c>
      <c r="D25" s="7" t="s">
        <v>66</v>
      </c>
      <c r="E25" s="6" t="s">
        <v>73</v>
      </c>
      <c r="F25" s="7" t="s">
        <v>92</v>
      </c>
      <c r="G25" s="7" t="s">
        <v>127</v>
      </c>
      <c r="H25" s="7" t="s">
        <v>85</v>
      </c>
      <c r="I25" s="6" t="s">
        <v>57</v>
      </c>
      <c r="J25" s="6" t="s">
        <v>28</v>
      </c>
      <c r="K25" s="8" t="n">
        <v>480</v>
      </c>
      <c r="L25" s="8" t="n">
        <v>22</v>
      </c>
      <c r="M25" s="6" t="s">
        <v>28</v>
      </c>
      <c r="N25" s="8" t="n">
        <v>11.3</v>
      </c>
      <c r="O25" s="8" t="n">
        <v>2.5</v>
      </c>
      <c r="P25" s="7" t="s">
        <v>29</v>
      </c>
      <c r="Q25" s="7" t="s">
        <v>63</v>
      </c>
      <c r="R25" s="9" t="n">
        <v>6350.87</v>
      </c>
      <c r="S25" s="9" t="n">
        <v>11477.98</v>
      </c>
    </row>
    <row r="26" customFormat="false" ht="15" hidden="false" customHeight="false" outlineLevel="0" collapsed="false">
      <c r="A26" s="6" t="s">
        <v>128</v>
      </c>
      <c r="B26" s="7" t="s">
        <v>72</v>
      </c>
      <c r="C26" s="7" t="s">
        <v>33</v>
      </c>
      <c r="D26" s="7" t="s">
        <v>66</v>
      </c>
      <c r="E26" s="6" t="s">
        <v>73</v>
      </c>
      <c r="F26" s="7" t="s">
        <v>129</v>
      </c>
      <c r="G26" s="7" t="s">
        <v>43</v>
      </c>
      <c r="H26" s="7" t="s">
        <v>52</v>
      </c>
      <c r="I26" s="6" t="s">
        <v>57</v>
      </c>
      <c r="J26" s="6" t="s">
        <v>28</v>
      </c>
      <c r="K26" s="8" t="n">
        <v>111</v>
      </c>
      <c r="L26" s="8" t="n">
        <v>11</v>
      </c>
      <c r="M26" s="6" t="s">
        <v>28</v>
      </c>
      <c r="N26" s="8" t="n">
        <v>44.5</v>
      </c>
      <c r="O26" s="8" t="n">
        <v>7.8</v>
      </c>
      <c r="P26" s="7" t="s">
        <v>58</v>
      </c>
      <c r="Q26" s="7" t="s">
        <v>70</v>
      </c>
      <c r="R26" s="9" t="n">
        <v>2501.04</v>
      </c>
      <c r="S26" s="9" t="n">
        <v>4326.55</v>
      </c>
    </row>
    <row r="27" customFormat="false" ht="15" hidden="false" customHeight="false" outlineLevel="0" collapsed="false">
      <c r="A27" s="6" t="s">
        <v>130</v>
      </c>
      <c r="B27" s="7" t="s">
        <v>78</v>
      </c>
      <c r="C27" s="7" t="s">
        <v>65</v>
      </c>
      <c r="D27" s="7" t="s">
        <v>22</v>
      </c>
      <c r="E27" s="6" t="s">
        <v>40</v>
      </c>
      <c r="F27" s="7" t="s">
        <v>75</v>
      </c>
      <c r="G27" s="7" t="s">
        <v>122</v>
      </c>
      <c r="H27" s="7" t="s">
        <v>131</v>
      </c>
      <c r="I27" s="6" t="s">
        <v>76</v>
      </c>
      <c r="J27" s="6" t="s">
        <v>28</v>
      </c>
      <c r="K27" s="8" t="n">
        <v>199</v>
      </c>
      <c r="L27" s="8" t="n">
        <v>9</v>
      </c>
      <c r="M27" s="6" t="s">
        <v>28</v>
      </c>
      <c r="N27" s="8" t="n">
        <v>39.7</v>
      </c>
      <c r="O27" s="8" t="n">
        <v>8.7</v>
      </c>
      <c r="P27" s="7" t="s">
        <v>36</v>
      </c>
      <c r="Q27" s="7" t="s">
        <v>46</v>
      </c>
      <c r="R27" s="9" t="n">
        <v>5450.25</v>
      </c>
      <c r="S27" s="9" t="n">
        <v>7732.67</v>
      </c>
    </row>
    <row r="28" customFormat="false" ht="15" hidden="false" customHeight="false" outlineLevel="0" collapsed="false">
      <c r="A28" s="6" t="s">
        <v>132</v>
      </c>
      <c r="B28" s="7" t="s">
        <v>38</v>
      </c>
      <c r="C28" s="7" t="s">
        <v>21</v>
      </c>
      <c r="D28" s="7" t="s">
        <v>117</v>
      </c>
      <c r="E28" s="6" t="s">
        <v>40</v>
      </c>
      <c r="F28" s="7" t="s">
        <v>133</v>
      </c>
      <c r="G28" s="7" t="s">
        <v>120</v>
      </c>
      <c r="H28" s="7" t="s">
        <v>134</v>
      </c>
      <c r="I28" s="6" t="s">
        <v>44</v>
      </c>
      <c r="J28" s="6" t="s">
        <v>28</v>
      </c>
      <c r="K28" s="8" t="n">
        <v>500</v>
      </c>
      <c r="L28" s="8" t="n">
        <v>1</v>
      </c>
      <c r="M28" s="6" t="s">
        <v>28</v>
      </c>
      <c r="N28" s="8" t="n">
        <v>6.9</v>
      </c>
      <c r="O28" s="8" t="n">
        <v>9.7</v>
      </c>
      <c r="P28" s="7" t="s">
        <v>36</v>
      </c>
      <c r="Q28" s="7" t="s">
        <v>63</v>
      </c>
      <c r="R28" s="9" t="n">
        <v>786.93</v>
      </c>
      <c r="S28" s="9" t="n">
        <v>1241.19</v>
      </c>
    </row>
    <row r="29" customFormat="false" ht="15" hidden="false" customHeight="false" outlineLevel="0" collapsed="false">
      <c r="A29" s="10" t="s">
        <v>135</v>
      </c>
      <c r="B29" s="11" t="s">
        <v>38</v>
      </c>
      <c r="C29" s="11" t="s">
        <v>79</v>
      </c>
      <c r="D29" s="11" t="s">
        <v>50</v>
      </c>
      <c r="E29" s="10" t="s">
        <v>40</v>
      </c>
      <c r="F29" s="11" t="s">
        <v>100</v>
      </c>
      <c r="G29" s="11" t="s">
        <v>125</v>
      </c>
      <c r="H29" s="11" t="s">
        <v>136</v>
      </c>
      <c r="I29" s="10" t="s">
        <v>76</v>
      </c>
      <c r="J29" s="10" t="s">
        <v>27</v>
      </c>
      <c r="K29" s="12" t="n">
        <v>480</v>
      </c>
      <c r="L29" s="12" t="n">
        <v>36</v>
      </c>
      <c r="M29" s="10" t="s">
        <v>28</v>
      </c>
      <c r="N29" s="12" t="n">
        <v>10.3</v>
      </c>
      <c r="O29" s="12" t="n">
        <v>0.4</v>
      </c>
      <c r="P29" s="11" t="s">
        <v>58</v>
      </c>
      <c r="Q29" s="11" t="s">
        <v>46</v>
      </c>
      <c r="R29" s="13" t="n">
        <v>4399.4</v>
      </c>
      <c r="S29" s="13" t="n">
        <v>7677.87</v>
      </c>
    </row>
    <row r="30" customFormat="false" ht="15" hidden="false" customHeight="false" outlineLevel="0" collapsed="false">
      <c r="A30" s="6" t="s">
        <v>137</v>
      </c>
      <c r="B30" s="7" t="s">
        <v>20</v>
      </c>
      <c r="C30" s="7" t="s">
        <v>79</v>
      </c>
      <c r="D30" s="7" t="s">
        <v>60</v>
      </c>
      <c r="E30" s="6" t="s">
        <v>40</v>
      </c>
      <c r="F30" s="7" t="s">
        <v>138</v>
      </c>
      <c r="G30" s="7" t="s">
        <v>139</v>
      </c>
      <c r="H30" s="7" t="s">
        <v>88</v>
      </c>
      <c r="I30" s="6" t="s">
        <v>44</v>
      </c>
      <c r="J30" s="6" t="s">
        <v>28</v>
      </c>
      <c r="K30" s="8" t="n">
        <v>339</v>
      </c>
      <c r="L30" s="8" t="n">
        <v>20</v>
      </c>
      <c r="M30" s="6" t="s">
        <v>28</v>
      </c>
      <c r="N30" s="8" t="n">
        <v>32.3</v>
      </c>
      <c r="O30" s="8" t="n">
        <v>1.2</v>
      </c>
      <c r="P30" s="7" t="s">
        <v>69</v>
      </c>
      <c r="Q30" s="7" t="s">
        <v>63</v>
      </c>
      <c r="R30" s="9" t="n">
        <v>5501.7</v>
      </c>
      <c r="S30" s="9" t="n">
        <v>7487.52</v>
      </c>
    </row>
    <row r="31" customFormat="false" ht="15" hidden="false" customHeight="false" outlineLevel="0" collapsed="false">
      <c r="A31" s="6" t="s">
        <v>140</v>
      </c>
      <c r="B31" s="7" t="s">
        <v>20</v>
      </c>
      <c r="C31" s="7" t="s">
        <v>49</v>
      </c>
      <c r="D31" s="7" t="s">
        <v>66</v>
      </c>
      <c r="E31" s="6" t="s">
        <v>73</v>
      </c>
      <c r="F31" s="7" t="s">
        <v>141</v>
      </c>
      <c r="G31" s="7" t="s">
        <v>142</v>
      </c>
      <c r="H31" s="7" t="s">
        <v>89</v>
      </c>
      <c r="I31" s="6" t="s">
        <v>26</v>
      </c>
      <c r="J31" s="6" t="s">
        <v>28</v>
      </c>
      <c r="K31" s="8" t="n">
        <v>335</v>
      </c>
      <c r="L31" s="8" t="n">
        <v>36</v>
      </c>
      <c r="M31" s="6" t="s">
        <v>28</v>
      </c>
      <c r="N31" s="8" t="n">
        <v>15.5</v>
      </c>
      <c r="O31" s="8" t="n">
        <v>5.5</v>
      </c>
      <c r="P31" s="7" t="s">
        <v>29</v>
      </c>
      <c r="Q31" s="7" t="s">
        <v>63</v>
      </c>
      <c r="R31" s="9" t="n">
        <v>2651.85</v>
      </c>
      <c r="S31" s="9" t="n">
        <v>3829.03</v>
      </c>
    </row>
    <row r="32" customFormat="false" ht="15" hidden="false" customHeight="false" outlineLevel="0" collapsed="false">
      <c r="A32" s="6" t="s">
        <v>143</v>
      </c>
      <c r="B32" s="7" t="s">
        <v>48</v>
      </c>
      <c r="C32" s="7" t="s">
        <v>33</v>
      </c>
      <c r="D32" s="7" t="s">
        <v>50</v>
      </c>
      <c r="E32" s="6" t="s">
        <v>40</v>
      </c>
      <c r="F32" s="7" t="s">
        <v>144</v>
      </c>
      <c r="G32" s="7" t="s">
        <v>89</v>
      </c>
      <c r="H32" s="7" t="s">
        <v>145</v>
      </c>
      <c r="I32" s="6" t="s">
        <v>26</v>
      </c>
      <c r="J32" s="6" t="s">
        <v>28</v>
      </c>
      <c r="K32" s="8" t="n">
        <v>281</v>
      </c>
      <c r="L32" s="8" t="n">
        <v>30</v>
      </c>
      <c r="M32" s="6" t="s">
        <v>28</v>
      </c>
      <c r="N32" s="8" t="n">
        <v>38.4</v>
      </c>
      <c r="O32" s="8" t="n">
        <v>9.6</v>
      </c>
      <c r="P32" s="7" t="s">
        <v>36</v>
      </c>
      <c r="Q32" s="7" t="s">
        <v>46</v>
      </c>
      <c r="R32" s="9" t="n">
        <v>2628.4</v>
      </c>
      <c r="S32" s="9" t="n">
        <v>4287.14</v>
      </c>
    </row>
    <row r="33" customFormat="false" ht="15" hidden="false" customHeight="false" outlineLevel="0" collapsed="false">
      <c r="A33" s="10" t="s">
        <v>146</v>
      </c>
      <c r="B33" s="11" t="s">
        <v>48</v>
      </c>
      <c r="C33" s="11" t="s">
        <v>49</v>
      </c>
      <c r="D33" s="11" t="s">
        <v>39</v>
      </c>
      <c r="E33" s="10" t="s">
        <v>73</v>
      </c>
      <c r="F33" s="11" t="s">
        <v>136</v>
      </c>
      <c r="G33" s="11" t="s">
        <v>120</v>
      </c>
      <c r="H33" s="11" t="s">
        <v>120</v>
      </c>
      <c r="I33" s="10" t="s">
        <v>26</v>
      </c>
      <c r="J33" s="10" t="s">
        <v>27</v>
      </c>
      <c r="K33" s="12" t="n">
        <v>95</v>
      </c>
      <c r="L33" s="12" t="n">
        <v>0</v>
      </c>
      <c r="M33" s="10" t="s">
        <v>27</v>
      </c>
      <c r="N33" s="12" t="n">
        <v>3.6</v>
      </c>
      <c r="O33" s="12" t="n">
        <v>9.8</v>
      </c>
      <c r="P33" s="11" t="s">
        <v>45</v>
      </c>
      <c r="Q33" s="11" t="s">
        <v>46</v>
      </c>
      <c r="R33" s="13" t="n">
        <v>3915.62</v>
      </c>
      <c r="S33" s="13" t="n">
        <v>7083</v>
      </c>
    </row>
    <row r="34" customFormat="false" ht="15" hidden="false" customHeight="false" outlineLevel="0" collapsed="false">
      <c r="A34" s="2" t="s">
        <v>147</v>
      </c>
      <c r="B34" s="3" t="s">
        <v>48</v>
      </c>
      <c r="C34" s="3" t="s">
        <v>54</v>
      </c>
      <c r="D34" s="3" t="s">
        <v>105</v>
      </c>
      <c r="E34" s="2" t="s">
        <v>40</v>
      </c>
      <c r="F34" s="3" t="s">
        <v>85</v>
      </c>
      <c r="G34" s="3" t="s">
        <v>144</v>
      </c>
      <c r="H34" s="3" t="s">
        <v>144</v>
      </c>
      <c r="I34" s="2" t="s">
        <v>57</v>
      </c>
      <c r="J34" s="2" t="s">
        <v>27</v>
      </c>
      <c r="K34" s="4" t="n">
        <v>477</v>
      </c>
      <c r="L34" s="4" t="n">
        <v>48</v>
      </c>
      <c r="M34" s="2" t="s">
        <v>28</v>
      </c>
      <c r="N34" s="4" t="n">
        <v>41.5</v>
      </c>
      <c r="O34" s="4" t="n">
        <v>8.9</v>
      </c>
      <c r="P34" s="3" t="s">
        <v>58</v>
      </c>
      <c r="Q34" s="3" t="s">
        <v>70</v>
      </c>
      <c r="R34" s="5" t="n">
        <v>1819.15</v>
      </c>
      <c r="S34" s="5" t="n">
        <v>3395.21</v>
      </c>
    </row>
    <row r="35" customFormat="false" ht="15" hidden="false" customHeight="false" outlineLevel="0" collapsed="false">
      <c r="A35" s="6" t="s">
        <v>148</v>
      </c>
      <c r="B35" s="7" t="s">
        <v>48</v>
      </c>
      <c r="C35" s="7" t="s">
        <v>65</v>
      </c>
      <c r="D35" s="7" t="s">
        <v>22</v>
      </c>
      <c r="E35" s="6" t="s">
        <v>23</v>
      </c>
      <c r="F35" s="7" t="s">
        <v>149</v>
      </c>
      <c r="G35" s="7" t="s">
        <v>103</v>
      </c>
      <c r="H35" s="7" t="s">
        <v>56</v>
      </c>
      <c r="I35" s="6" t="s">
        <v>26</v>
      </c>
      <c r="J35" s="6" t="s">
        <v>28</v>
      </c>
      <c r="K35" s="8" t="n">
        <v>430</v>
      </c>
      <c r="L35" s="8" t="n">
        <v>29</v>
      </c>
      <c r="M35" s="6" t="s">
        <v>28</v>
      </c>
      <c r="N35" s="8" t="n">
        <v>32.5</v>
      </c>
      <c r="O35" s="8" t="n">
        <v>9.9</v>
      </c>
      <c r="P35" s="7" t="s">
        <v>45</v>
      </c>
      <c r="Q35" s="7" t="s">
        <v>63</v>
      </c>
      <c r="R35" s="9" t="n">
        <v>7625.3</v>
      </c>
      <c r="S35" s="9" t="n">
        <v>13825.74</v>
      </c>
    </row>
    <row r="36" customFormat="false" ht="15" hidden="false" customHeight="false" outlineLevel="0" collapsed="false">
      <c r="A36" s="6" t="s">
        <v>150</v>
      </c>
      <c r="B36" s="7" t="s">
        <v>48</v>
      </c>
      <c r="C36" s="7" t="s">
        <v>79</v>
      </c>
      <c r="D36" s="7" t="s">
        <v>105</v>
      </c>
      <c r="E36" s="6" t="s">
        <v>23</v>
      </c>
      <c r="F36" s="7" t="s">
        <v>151</v>
      </c>
      <c r="G36" s="7" t="s">
        <v>142</v>
      </c>
      <c r="H36" s="7" t="s">
        <v>89</v>
      </c>
      <c r="I36" s="6" t="s">
        <v>76</v>
      </c>
      <c r="J36" s="6" t="s">
        <v>28</v>
      </c>
      <c r="K36" s="8" t="n">
        <v>250</v>
      </c>
      <c r="L36" s="8" t="n">
        <v>8</v>
      </c>
      <c r="M36" s="6" t="s">
        <v>28</v>
      </c>
      <c r="N36" s="8" t="n">
        <v>36.5</v>
      </c>
      <c r="O36" s="8" t="n">
        <v>8.4</v>
      </c>
      <c r="P36" s="7" t="s">
        <v>69</v>
      </c>
      <c r="Q36" s="7" t="s">
        <v>30</v>
      </c>
      <c r="R36" s="9" t="n">
        <v>5200.61</v>
      </c>
      <c r="S36" s="9" t="n">
        <v>6863.13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</cols>
  <sheetData>
    <row r="1" customFormat="false" ht="36" hidden="false" customHeight="true" outlineLevel="0" collapsed="false">
      <c r="A1" s="14" t="s">
        <v>152</v>
      </c>
      <c r="B1" s="14"/>
      <c r="C1" s="14"/>
      <c r="D1" s="14"/>
      <c r="E1" s="14"/>
      <c r="F1" s="14"/>
      <c r="G1" s="14"/>
    </row>
    <row r="2" customFormat="false" ht="19.5" hidden="false" customHeight="true" outlineLevel="0" collapsed="false">
      <c r="A2" s="15" t="s">
        <v>153</v>
      </c>
      <c r="B2" s="15"/>
      <c r="C2" s="15"/>
      <c r="D2" s="15"/>
      <c r="E2" s="15"/>
      <c r="F2" s="15"/>
      <c r="G2" s="15"/>
    </row>
    <row r="4" customFormat="false" ht="25.5" hidden="false" customHeight="true" outlineLevel="0" collapsed="false">
      <c r="A4" s="16" t="s">
        <v>154</v>
      </c>
      <c r="B4" s="16"/>
      <c r="C4" s="16"/>
      <c r="D4" s="16"/>
      <c r="E4" s="16"/>
      <c r="F4" s="16"/>
      <c r="G4" s="16"/>
    </row>
    <row r="5" customFormat="false" ht="19.5" hidden="false" customHeight="true" outlineLevel="0" collapsed="false">
      <c r="A5" s="17" t="s">
        <v>155</v>
      </c>
      <c r="B5" s="17" t="s">
        <v>156</v>
      </c>
      <c r="C5" s="17" t="s">
        <v>157</v>
      </c>
      <c r="D5" s="17" t="s">
        <v>158</v>
      </c>
    </row>
    <row r="6" customFormat="false" ht="19.5" hidden="false" customHeight="true" outlineLevel="0" collapsed="false">
      <c r="A6" s="18" t="s">
        <v>159</v>
      </c>
      <c r="B6" s="19" t="n">
        <f aca="false">AVERAGE(Operational_Data!N2:N36)</f>
        <v>24.9714285714286</v>
      </c>
      <c r="C6" s="20" t="s">
        <v>160</v>
      </c>
      <c r="D6" s="21" t="s">
        <v>161</v>
      </c>
    </row>
    <row r="7" customFormat="false" ht="19.5" hidden="false" customHeight="true" outlineLevel="0" collapsed="false">
      <c r="A7" s="18" t="s">
        <v>162</v>
      </c>
      <c r="B7" s="19" t="n">
        <f aca="false">AVERAGE(Operational_Data!O2:O36)</f>
        <v>5.96857142857143</v>
      </c>
      <c r="C7" s="20" t="s">
        <v>160</v>
      </c>
      <c r="D7" s="21" t="s">
        <v>163</v>
      </c>
    </row>
    <row r="8" customFormat="false" ht="19.5" hidden="false" customHeight="true" outlineLevel="0" collapsed="false">
      <c r="A8" s="18" t="s">
        <v>164</v>
      </c>
      <c r="B8" s="22" t="n">
        <f aca="false">SUMPRODUCT((Operational_Data!L2:L36/Operational_Data!K2:K36))/COUNTA(Operational_Data!A2:A36)*100</f>
        <v>6.04949005621393</v>
      </c>
      <c r="C8" s="20" t="s">
        <v>165</v>
      </c>
      <c r="D8" s="21" t="s">
        <v>166</v>
      </c>
    </row>
    <row r="9" customFormat="false" ht="19.5" hidden="false" customHeight="true" outlineLevel="0" collapsed="false">
      <c r="A9" s="18" t="s">
        <v>167</v>
      </c>
      <c r="B9" s="22" t="n">
        <f aca="false">COUNTIF(Operational_Data!M2:M36,"Yes")/COUNTA(Operational_Data!A2:A36)*100</f>
        <v>97.1428571428571</v>
      </c>
      <c r="C9" s="20" t="s">
        <v>165</v>
      </c>
      <c r="D9" s="21" t="s">
        <v>168</v>
      </c>
    </row>
    <row r="11" customFormat="false" ht="25.5" hidden="false" customHeight="true" outlineLevel="0" collapsed="false">
      <c r="A11" s="23" t="s">
        <v>169</v>
      </c>
      <c r="B11" s="23"/>
      <c r="C11" s="23"/>
      <c r="D11" s="23"/>
      <c r="E11" s="23"/>
      <c r="F11" s="23"/>
      <c r="G11" s="23"/>
    </row>
    <row r="12" customFormat="false" ht="19.5" hidden="false" customHeight="true" outlineLevel="0" collapsed="false">
      <c r="A12" s="17" t="s">
        <v>155</v>
      </c>
      <c r="B12" s="17" t="s">
        <v>156</v>
      </c>
      <c r="C12" s="17" t="s">
        <v>157</v>
      </c>
      <c r="D12" s="17" t="s">
        <v>158</v>
      </c>
    </row>
    <row r="13" customFormat="false" ht="19.5" hidden="false" customHeight="true" outlineLevel="0" collapsed="false">
      <c r="A13" s="18" t="s">
        <v>170</v>
      </c>
      <c r="B13" s="24" t="n">
        <f aca="false">COUNTIF(Operational_Data!J2:J36,"Yes")</f>
        <v>22</v>
      </c>
      <c r="C13" s="20" t="s">
        <v>171</v>
      </c>
      <c r="D13" s="21" t="s">
        <v>172</v>
      </c>
    </row>
    <row r="14" customFormat="false" ht="19.5" hidden="false" customHeight="true" outlineLevel="0" collapsed="false">
      <c r="A14" s="18" t="s">
        <v>173</v>
      </c>
      <c r="B14" s="22" t="n">
        <f aca="false">COUNTIF(Operational_Data!J2:J36,"Yes")/COUNTA(Operational_Data!A2:A36)*100</f>
        <v>62.8571428571429</v>
      </c>
      <c r="C14" s="20" t="s">
        <v>165</v>
      </c>
      <c r="D14" s="21" t="s">
        <v>174</v>
      </c>
    </row>
    <row r="15" customFormat="false" ht="19.5" hidden="false" customHeight="true" outlineLevel="0" collapsed="false">
      <c r="A15" s="18" t="s">
        <v>175</v>
      </c>
      <c r="B15" s="24" t="n">
        <f aca="false">COUNTIF(Operational_Data!I2:I36,"Delayed")</f>
        <v>10</v>
      </c>
      <c r="C15" s="20" t="s">
        <v>171</v>
      </c>
      <c r="D15" s="21"/>
    </row>
    <row r="16" customFormat="false" ht="19.5" hidden="false" customHeight="true" outlineLevel="0" collapsed="false">
      <c r="A16" s="18" t="s">
        <v>176</v>
      </c>
      <c r="B16" s="24" t="n">
        <f aca="false">COUNTIF(Operational_Data!I2:I36,"Cancelled")</f>
        <v>7</v>
      </c>
      <c r="C16" s="20" t="s">
        <v>171</v>
      </c>
      <c r="D16" s="21"/>
    </row>
    <row r="18" customFormat="false" ht="25.5" hidden="false" customHeight="true" outlineLevel="0" collapsed="false">
      <c r="A18" s="25" t="s">
        <v>177</v>
      </c>
      <c r="B18" s="25"/>
      <c r="C18" s="25"/>
      <c r="D18" s="25"/>
      <c r="E18" s="25"/>
      <c r="F18" s="25"/>
      <c r="G18" s="25"/>
    </row>
    <row r="19" customFormat="false" ht="19.5" hidden="false" customHeight="true" outlineLevel="0" collapsed="false">
      <c r="A19" s="17" t="s">
        <v>155</v>
      </c>
      <c r="B19" s="17" t="s">
        <v>156</v>
      </c>
      <c r="C19" s="17" t="s">
        <v>157</v>
      </c>
      <c r="D19" s="17" t="s">
        <v>158</v>
      </c>
    </row>
    <row r="20" customFormat="false" ht="19.5" hidden="false" customHeight="true" outlineLevel="0" collapsed="false">
      <c r="A20" s="18" t="s">
        <v>178</v>
      </c>
      <c r="B20" s="24" t="n">
        <f aca="false">SUM(Operational_Data!K2:K36)</f>
        <v>10378</v>
      </c>
      <c r="C20" s="20" t="s">
        <v>171</v>
      </c>
      <c r="D20" s="21"/>
    </row>
    <row r="21" customFormat="false" ht="19.5" hidden="false" customHeight="true" outlineLevel="0" collapsed="false">
      <c r="A21" s="18" t="s">
        <v>179</v>
      </c>
      <c r="B21" s="19" t="n">
        <f aca="false">AVERAGE(Operational_Data!K2:K36)</f>
        <v>296.514285714286</v>
      </c>
      <c r="C21" s="20" t="s">
        <v>160</v>
      </c>
      <c r="D21" s="21"/>
    </row>
    <row r="22" customFormat="false" ht="19.5" hidden="false" customHeight="true" outlineLevel="0" collapsed="false">
      <c r="A22" s="18" t="s">
        <v>180</v>
      </c>
      <c r="B22" s="26" t="n">
        <f aca="false">SUM(Operational_Data!S2:S36)</f>
        <v>244800.74</v>
      </c>
      <c r="C22" s="20" t="s">
        <v>181</v>
      </c>
      <c r="D22" s="21"/>
    </row>
    <row r="23" customFormat="false" ht="19.5" hidden="false" customHeight="true" outlineLevel="0" collapsed="false">
      <c r="A23" s="18" t="s">
        <v>182</v>
      </c>
      <c r="B23" s="26" t="n">
        <f aca="false">SUM(Operational_Data!R2:R36)</f>
        <v>157731.16</v>
      </c>
      <c r="C23" s="20" t="s">
        <v>181</v>
      </c>
      <c r="D23" s="21"/>
    </row>
    <row r="24" customFormat="false" ht="19.5" hidden="false" customHeight="true" outlineLevel="0" collapsed="false">
      <c r="A24" s="18" t="s">
        <v>183</v>
      </c>
      <c r="B24" s="22" t="n">
        <f aca="false">(SUM(Operational_Data!S2:S36)-SUM(Operational_Data!R2:R36))/SUM(Operational_Data!S2:S36)*100</f>
        <v>35.5675313726584</v>
      </c>
      <c r="C24" s="20" t="s">
        <v>165</v>
      </c>
      <c r="D24" s="21"/>
    </row>
    <row r="25" customFormat="false" ht="19.5" hidden="false" customHeight="true" outlineLevel="0" collapsed="false">
      <c r="A25" s="18" t="s">
        <v>184</v>
      </c>
      <c r="B25" s="24" t="n">
        <f aca="false">COUNTIF(Operational_Data!I2:I36,"Completed")</f>
        <v>9</v>
      </c>
      <c r="C25" s="20" t="s">
        <v>171</v>
      </c>
      <c r="D25" s="21"/>
    </row>
    <row r="26" customFormat="false" ht="19.5" hidden="false" customHeight="true" outlineLevel="0" collapsed="false">
      <c r="A26" s="18" t="s">
        <v>185</v>
      </c>
      <c r="B26" s="22" t="n">
        <f aca="false">COUNTIF(Operational_Data!I2:I36,"Completed")/COUNTA(Operational_Data!A2:A36)*100</f>
        <v>25.7142857142857</v>
      </c>
      <c r="C26" s="20" t="s">
        <v>165</v>
      </c>
      <c r="D26" s="21" t="s">
        <v>186</v>
      </c>
    </row>
  </sheetData>
  <mergeCells count="5">
    <mergeCell ref="A1:G1"/>
    <mergeCell ref="A2:G2"/>
    <mergeCell ref="A4:G4"/>
    <mergeCell ref="A11:G1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36" hidden="false" customHeight="true" outlineLevel="0" collapsed="false">
      <c r="A1" s="14" t="s">
        <v>187</v>
      </c>
      <c r="B1" s="14"/>
      <c r="C1" s="14"/>
      <c r="D1" s="14"/>
      <c r="E1" s="14"/>
      <c r="F1" s="14"/>
      <c r="G1" s="14"/>
    </row>
    <row r="3" customFormat="false" ht="27.75" hidden="false" customHeight="true" outlineLevel="0" collapsed="false">
      <c r="A3" s="27" t="s">
        <v>188</v>
      </c>
      <c r="B3" s="27"/>
      <c r="C3" s="27"/>
      <c r="D3" s="27"/>
      <c r="E3" s="27"/>
      <c r="F3" s="27"/>
    </row>
    <row r="4" customFormat="false" ht="21.75" hidden="false" customHeight="true" outlineLevel="0" collapsed="false">
      <c r="A4" s="28" t="s">
        <v>189</v>
      </c>
      <c r="B4" s="28"/>
      <c r="C4" s="28"/>
      <c r="D4" s="28"/>
      <c r="E4" s="28"/>
      <c r="F4" s="28"/>
    </row>
    <row r="5" customFormat="false" ht="21.75" hidden="false" customHeight="true" outlineLevel="0" collapsed="false">
      <c r="A5" s="28"/>
      <c r="B5" s="28"/>
      <c r="C5" s="28"/>
      <c r="D5" s="28"/>
      <c r="E5" s="28"/>
      <c r="F5" s="28"/>
    </row>
    <row r="6" customFormat="false" ht="21.75" hidden="false" customHeight="true" outlineLevel="0" collapsed="false">
      <c r="A6" s="28" t="s">
        <v>190</v>
      </c>
      <c r="B6" s="28"/>
      <c r="C6" s="28"/>
      <c r="D6" s="28"/>
      <c r="E6" s="28"/>
      <c r="F6" s="28"/>
    </row>
    <row r="7" customFormat="false" ht="21.75" hidden="false" customHeight="true" outlineLevel="0" collapsed="false">
      <c r="A7" s="28" t="s">
        <v>191</v>
      </c>
      <c r="B7" s="28"/>
      <c r="C7" s="28"/>
      <c r="D7" s="28"/>
      <c r="E7" s="28"/>
      <c r="F7" s="28"/>
    </row>
    <row r="8" customFormat="false" ht="21.75" hidden="false" customHeight="true" outlineLevel="0" collapsed="false">
      <c r="A8" s="28"/>
      <c r="B8" s="28"/>
      <c r="C8" s="28"/>
      <c r="D8" s="28"/>
      <c r="E8" s="28"/>
      <c r="F8" s="28"/>
    </row>
    <row r="9" customFormat="false" ht="21.75" hidden="false" customHeight="true" outlineLevel="0" collapsed="false">
      <c r="A9" s="28" t="s">
        <v>192</v>
      </c>
      <c r="B9" s="28"/>
      <c r="C9" s="28"/>
      <c r="D9" s="28"/>
      <c r="E9" s="28"/>
      <c r="F9" s="28"/>
    </row>
    <row r="10" customFormat="false" ht="21.75" hidden="false" customHeight="true" outlineLevel="0" collapsed="false">
      <c r="A10" s="28" t="s">
        <v>193</v>
      </c>
      <c r="B10" s="28"/>
      <c r="C10" s="28"/>
      <c r="D10" s="28"/>
      <c r="E10" s="28"/>
      <c r="F10" s="28"/>
    </row>
    <row r="11" customFormat="false" ht="21.75" hidden="false" customHeight="true" outlineLevel="0" collapsed="false">
      <c r="A11" s="28" t="s">
        <v>194</v>
      </c>
      <c r="B11" s="28"/>
      <c r="C11" s="28"/>
      <c r="D11" s="28"/>
      <c r="E11" s="28"/>
      <c r="F11" s="28"/>
    </row>
    <row r="13" customFormat="false" ht="27.75" hidden="false" customHeight="true" outlineLevel="0" collapsed="false">
      <c r="A13" s="29" t="s">
        <v>195</v>
      </c>
      <c r="B13" s="29"/>
      <c r="C13" s="29"/>
      <c r="D13" s="29"/>
      <c r="E13" s="29"/>
      <c r="F13" s="29"/>
    </row>
    <row r="14" customFormat="false" ht="21.75" hidden="false" customHeight="true" outlineLevel="0" collapsed="false">
      <c r="A14" s="30" t="s">
        <v>196</v>
      </c>
      <c r="B14" s="30"/>
      <c r="C14" s="30"/>
      <c r="D14" s="30"/>
      <c r="E14" s="30"/>
      <c r="F14" s="30"/>
    </row>
    <row r="15" customFormat="false" ht="21.75" hidden="false" customHeight="true" outlineLevel="0" collapsed="false">
      <c r="A15" s="30" t="s">
        <v>197</v>
      </c>
      <c r="B15" s="30"/>
      <c r="C15" s="30"/>
      <c r="D15" s="30"/>
      <c r="E15" s="30"/>
      <c r="F15" s="30"/>
    </row>
    <row r="16" customFormat="false" ht="21.75" hidden="false" customHeight="true" outlineLevel="0" collapsed="false">
      <c r="A16" s="30" t="s">
        <v>198</v>
      </c>
      <c r="B16" s="30"/>
      <c r="C16" s="30"/>
      <c r="D16" s="30"/>
      <c r="E16" s="30"/>
      <c r="F16" s="30"/>
    </row>
    <row r="17" customFormat="false" ht="21.75" hidden="false" customHeight="true" outlineLevel="0" collapsed="false">
      <c r="A17" s="30" t="s">
        <v>199</v>
      </c>
      <c r="B17" s="30"/>
      <c r="C17" s="30"/>
      <c r="D17" s="30"/>
      <c r="E17" s="30"/>
      <c r="F17" s="30"/>
    </row>
    <row r="18" customFormat="false" ht="21.75" hidden="false" customHeight="true" outlineLevel="0" collapsed="false">
      <c r="A18" s="30" t="s">
        <v>200</v>
      </c>
      <c r="B18" s="30"/>
      <c r="C18" s="30"/>
      <c r="D18" s="30"/>
      <c r="E18" s="30"/>
      <c r="F18" s="30"/>
    </row>
    <row r="19" customFormat="false" ht="21.75" hidden="false" customHeight="true" outlineLevel="0" collapsed="false">
      <c r="A19" s="30"/>
      <c r="B19" s="30"/>
      <c r="C19" s="30"/>
      <c r="D19" s="30"/>
      <c r="E19" s="30"/>
      <c r="F19" s="30"/>
    </row>
    <row r="20" customFormat="false" ht="21.75" hidden="false" customHeight="true" outlineLevel="0" collapsed="false">
      <c r="A20" s="30" t="s">
        <v>201</v>
      </c>
      <c r="B20" s="30"/>
      <c r="C20" s="30"/>
      <c r="D20" s="30"/>
      <c r="E20" s="30"/>
      <c r="F20" s="30"/>
    </row>
    <row r="21" customFormat="false" ht="21.75" hidden="false" customHeight="true" outlineLevel="0" collapsed="false">
      <c r="A21" s="30" t="s">
        <v>202</v>
      </c>
      <c r="B21" s="30"/>
      <c r="C21" s="30"/>
      <c r="D21" s="30"/>
      <c r="E21" s="30"/>
      <c r="F21" s="30"/>
    </row>
    <row r="22" customFormat="false" ht="21.75" hidden="false" customHeight="true" outlineLevel="0" collapsed="false">
      <c r="A22" s="30" t="s">
        <v>203</v>
      </c>
      <c r="B22" s="30"/>
      <c r="C22" s="30"/>
      <c r="D22" s="30"/>
      <c r="E22" s="30"/>
      <c r="F22" s="30"/>
    </row>
    <row r="23" customFormat="false" ht="21.75" hidden="false" customHeight="true" outlineLevel="0" collapsed="false">
      <c r="A23" s="30" t="s">
        <v>204</v>
      </c>
      <c r="B23" s="30"/>
      <c r="C23" s="30"/>
      <c r="D23" s="30"/>
      <c r="E23" s="30"/>
      <c r="F23" s="30"/>
    </row>
    <row r="24" customFormat="false" ht="21.75" hidden="false" customHeight="true" outlineLevel="0" collapsed="false">
      <c r="A24" s="30" t="s">
        <v>205</v>
      </c>
      <c r="B24" s="30"/>
      <c r="C24" s="30"/>
      <c r="D24" s="30"/>
      <c r="E24" s="30"/>
      <c r="F24" s="30"/>
    </row>
    <row r="25" customFormat="false" ht="21.75" hidden="false" customHeight="true" outlineLevel="0" collapsed="false">
      <c r="A25" s="30"/>
      <c r="B25" s="30"/>
      <c r="C25" s="30"/>
      <c r="D25" s="30"/>
      <c r="E25" s="30"/>
      <c r="F25" s="30"/>
    </row>
    <row r="26" customFormat="false" ht="21.75" hidden="false" customHeight="true" outlineLevel="0" collapsed="false">
      <c r="A26" s="30" t="s">
        <v>206</v>
      </c>
      <c r="B26" s="30"/>
      <c r="C26" s="30"/>
      <c r="D26" s="30"/>
      <c r="E26" s="30"/>
      <c r="F26" s="30"/>
    </row>
    <row r="27" customFormat="false" ht="21.75" hidden="false" customHeight="true" outlineLevel="0" collapsed="false">
      <c r="A27" s="30" t="s">
        <v>207</v>
      </c>
      <c r="B27" s="30"/>
      <c r="C27" s="30"/>
      <c r="D27" s="30"/>
      <c r="E27" s="30"/>
      <c r="F27" s="30"/>
    </row>
    <row r="28" customFormat="false" ht="21.75" hidden="false" customHeight="true" outlineLevel="0" collapsed="false">
      <c r="A28" s="30" t="s">
        <v>208</v>
      </c>
      <c r="B28" s="30"/>
      <c r="C28" s="30"/>
      <c r="D28" s="30"/>
      <c r="E28" s="30"/>
      <c r="F28" s="30"/>
    </row>
    <row r="29" customFormat="false" ht="21.75" hidden="false" customHeight="true" outlineLevel="0" collapsed="false">
      <c r="A29" s="30" t="s">
        <v>209</v>
      </c>
      <c r="B29" s="30"/>
      <c r="C29" s="30"/>
      <c r="D29" s="30"/>
      <c r="E29" s="30"/>
      <c r="F29" s="30"/>
    </row>
    <row r="30" customFormat="false" ht="21.75" hidden="false" customHeight="true" outlineLevel="0" collapsed="false">
      <c r="A30" s="30" t="s">
        <v>210</v>
      </c>
      <c r="B30" s="30"/>
      <c r="C30" s="30"/>
      <c r="D30" s="30"/>
      <c r="E30" s="30"/>
      <c r="F30" s="30"/>
    </row>
    <row r="31" customFormat="false" ht="21.75" hidden="false" customHeight="true" outlineLevel="0" collapsed="false">
      <c r="A31" s="30"/>
      <c r="B31" s="30"/>
      <c r="C31" s="30"/>
      <c r="D31" s="30"/>
      <c r="E31" s="30"/>
      <c r="F31" s="30"/>
    </row>
    <row r="32" customFormat="false" ht="21.75" hidden="false" customHeight="true" outlineLevel="0" collapsed="false">
      <c r="A32" s="30" t="s">
        <v>211</v>
      </c>
      <c r="B32" s="30"/>
      <c r="C32" s="30"/>
      <c r="D32" s="30"/>
      <c r="E32" s="30"/>
      <c r="F32" s="30"/>
    </row>
    <row r="33" customFormat="false" ht="21.75" hidden="false" customHeight="true" outlineLevel="0" collapsed="false">
      <c r="A33" s="30" t="s">
        <v>212</v>
      </c>
      <c r="B33" s="30"/>
      <c r="C33" s="30"/>
      <c r="D33" s="30"/>
      <c r="E33" s="30"/>
      <c r="F33" s="30"/>
    </row>
    <row r="34" customFormat="false" ht="21.75" hidden="false" customHeight="true" outlineLevel="0" collapsed="false">
      <c r="A34" s="30" t="s">
        <v>213</v>
      </c>
      <c r="B34" s="30"/>
      <c r="C34" s="30"/>
      <c r="D34" s="30"/>
      <c r="E34" s="30"/>
      <c r="F34" s="30"/>
    </row>
    <row r="35" customFormat="false" ht="21.75" hidden="false" customHeight="true" outlineLevel="0" collapsed="false">
      <c r="A35" s="30" t="s">
        <v>214</v>
      </c>
      <c r="B35" s="30"/>
      <c r="C35" s="30"/>
      <c r="D35" s="30"/>
      <c r="E35" s="30"/>
      <c r="F35" s="30"/>
    </row>
    <row r="36" customFormat="false" ht="21.75" hidden="false" customHeight="true" outlineLevel="0" collapsed="false">
      <c r="A36" s="30" t="s">
        <v>215</v>
      </c>
      <c r="B36" s="30"/>
      <c r="C36" s="30"/>
      <c r="D36" s="30"/>
      <c r="E36" s="30"/>
      <c r="F36" s="30"/>
    </row>
    <row r="37" customFormat="false" ht="21.75" hidden="false" customHeight="true" outlineLevel="0" collapsed="false">
      <c r="A37" s="30"/>
      <c r="B37" s="30"/>
      <c r="C37" s="30"/>
      <c r="D37" s="30"/>
      <c r="E37" s="30"/>
      <c r="F37" s="30"/>
    </row>
    <row r="38" customFormat="false" ht="21.75" hidden="false" customHeight="true" outlineLevel="0" collapsed="false">
      <c r="A38" s="30" t="s">
        <v>216</v>
      </c>
      <c r="B38" s="30"/>
      <c r="C38" s="30"/>
      <c r="D38" s="30"/>
      <c r="E38" s="30"/>
      <c r="F38" s="30"/>
    </row>
    <row r="39" customFormat="false" ht="21.75" hidden="false" customHeight="true" outlineLevel="0" collapsed="false">
      <c r="A39" s="30" t="s">
        <v>217</v>
      </c>
      <c r="B39" s="30"/>
      <c r="C39" s="30"/>
      <c r="D39" s="30"/>
      <c r="E39" s="30"/>
      <c r="F39" s="30"/>
    </row>
    <row r="40" customFormat="false" ht="21.75" hidden="false" customHeight="true" outlineLevel="0" collapsed="false">
      <c r="A40" s="30" t="s">
        <v>218</v>
      </c>
      <c r="B40" s="30"/>
      <c r="C40" s="30"/>
      <c r="D40" s="30"/>
      <c r="E40" s="30"/>
      <c r="F40" s="30"/>
    </row>
    <row r="41" customFormat="false" ht="21.75" hidden="false" customHeight="true" outlineLevel="0" collapsed="false">
      <c r="A41" s="30" t="s">
        <v>219</v>
      </c>
      <c r="B41" s="30"/>
      <c r="C41" s="30"/>
      <c r="D41" s="30"/>
      <c r="E41" s="30"/>
      <c r="F41" s="30"/>
    </row>
    <row r="43" customFormat="false" ht="27.75" hidden="false" customHeight="true" outlineLevel="0" collapsed="false">
      <c r="A43" s="31" t="s">
        <v>220</v>
      </c>
      <c r="B43" s="31"/>
      <c r="C43" s="31"/>
      <c r="D43" s="31"/>
      <c r="E43" s="31"/>
      <c r="F43" s="31"/>
    </row>
    <row r="44" customFormat="false" ht="21.75" hidden="false" customHeight="true" outlineLevel="0" collapsed="false">
      <c r="A44" s="32" t="s">
        <v>221</v>
      </c>
      <c r="B44" s="32"/>
      <c r="C44" s="32"/>
      <c r="D44" s="32"/>
      <c r="E44" s="32"/>
      <c r="F44" s="32"/>
    </row>
    <row r="45" customFormat="false" ht="21.75" hidden="false" customHeight="true" outlineLevel="0" collapsed="false">
      <c r="A45" s="32" t="s">
        <v>222</v>
      </c>
      <c r="B45" s="32"/>
      <c r="C45" s="32"/>
      <c r="D45" s="32"/>
      <c r="E45" s="32"/>
      <c r="F45" s="32"/>
    </row>
    <row r="46" customFormat="false" ht="21.75" hidden="false" customHeight="true" outlineLevel="0" collapsed="false">
      <c r="A46" s="32" t="s">
        <v>223</v>
      </c>
      <c r="B46" s="32"/>
      <c r="C46" s="32"/>
      <c r="D46" s="32"/>
      <c r="E46" s="32"/>
      <c r="F46" s="32"/>
    </row>
    <row r="47" customFormat="false" ht="21.75" hidden="false" customHeight="true" outlineLevel="0" collapsed="false">
      <c r="A47" s="32" t="s">
        <v>224</v>
      </c>
      <c r="B47" s="32"/>
      <c r="C47" s="32"/>
      <c r="D47" s="32"/>
      <c r="E47" s="32"/>
      <c r="F47" s="32"/>
    </row>
    <row r="48" customFormat="false" ht="21.75" hidden="false" customHeight="true" outlineLevel="0" collapsed="false">
      <c r="A48" s="32" t="s">
        <v>225</v>
      </c>
      <c r="B48" s="32"/>
      <c r="C48" s="32"/>
      <c r="D48" s="32"/>
      <c r="E48" s="32"/>
      <c r="F48" s="32"/>
    </row>
    <row r="49" customFormat="false" ht="21.75" hidden="false" customHeight="true" outlineLevel="0" collapsed="false">
      <c r="A49" s="32" t="s">
        <v>226</v>
      </c>
      <c r="B49" s="32"/>
      <c r="C49" s="32"/>
      <c r="D49" s="32"/>
      <c r="E49" s="32"/>
      <c r="F49" s="32"/>
    </row>
    <row r="50" customFormat="false" ht="21.75" hidden="false" customHeight="true" outlineLevel="0" collapsed="false">
      <c r="A50" s="32" t="s">
        <v>227</v>
      </c>
      <c r="B50" s="32"/>
      <c r="C50" s="32"/>
      <c r="D50" s="32"/>
      <c r="E50" s="32"/>
      <c r="F50" s="32"/>
    </row>
  </sheetData>
  <mergeCells count="47">
    <mergeCell ref="A1:G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  <mergeCell ref="A47:F47"/>
    <mergeCell ref="A48:F48"/>
    <mergeCell ref="A49:F49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2026-03-23T12:08:41Z</dcterms:created>
  <dc:creator>openpyxl</dc:creator>
  <dc:description/>
  <dc:language>en-US</dc:language>
  <cp:lastModifiedBy/>
  <dcterms:modified xsi:type="dcterms:W3CDTF">2026-03-23T12:08:41Z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